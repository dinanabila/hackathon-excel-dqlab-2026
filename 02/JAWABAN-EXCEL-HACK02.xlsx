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E242F58C-08AA-401A-B185-386E3C8F4F2F}" xr6:coauthVersionLast="47" xr6:coauthVersionMax="47" xr10:uidLastSave="{00000000-0000-0000-0000-000000000000}"/>
  <bookViews>
    <workbookView xWindow="-108" yWindow="-108" windowWidth="23256" windowHeight="12456" activeTab="2" xr2:uid="{22569C4C-5442-4ADD-AE82-33C27DE9681B}"/>
  </bookViews>
  <sheets>
    <sheet name="Demand Projection" sheetId="5" r:id="rId1"/>
    <sheet name="Warehouse" sheetId="6" r:id="rId2"/>
    <sheet name="Capacit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E3" i="9"/>
  <c r="E4" i="9"/>
  <c r="E5" i="9"/>
  <c r="E6" i="9"/>
  <c r="E7" i="9"/>
  <c r="F168" i="5"/>
  <c r="F169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2" i="5"/>
  <c r="E16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2" i="5"/>
  <c r="D169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" i="5"/>
  <c r="C169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69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</calcChain>
</file>

<file path=xl/sharedStrings.xml><?xml version="1.0" encoding="utf-8"?>
<sst xmlns="http://schemas.openxmlformats.org/spreadsheetml/2006/main" count="52" uniqueCount="23">
  <si>
    <t>No</t>
  </si>
  <si>
    <t>Produk</t>
  </si>
  <si>
    <t>Tanggal Order</t>
  </si>
  <si>
    <t>Jumlah</t>
  </si>
  <si>
    <t>Demand 6 Hari</t>
  </si>
  <si>
    <t>Validasi Data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</si>
  <si>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</si>
  <si>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</si>
  <si>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</si>
  <si>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</si>
  <si>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</si>
  <si>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</si>
  <si>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</si>
  <si>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</si>
  <si>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</si>
  <si>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</si>
  <si>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Initial Stock</t>
  </si>
  <si>
    <t>Warehouse Capacity</t>
  </si>
  <si>
    <t>Min/Max Stock Level</t>
  </si>
  <si>
    <t>Product</t>
  </si>
  <si>
    <t>Full Unit Capacity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</si>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</sst>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>_xlfn.MINIFS('Demand Projection'!$F$2:$F$169,
        'Demand Projection'!$B$2:$B$169,D3)</calculatedColumnFormula>
    </tableColumn>
    <tableColumn id="3" xr3:uid="{378B6F5B-CF40-431E-A2A6-A6A2E2DFB7E6}" name="Max" dataDxfId="0">
      <calculatedColumnFormula>_xlfn.MAXIFS('Demand Projection'!$F$2:$F$169,
        'Demand Projection'!$B$2:$B$169,D3)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M169"/>
  <sheetViews>
    <sheetView topLeftCell="B155" zoomScale="115" zoomScaleNormal="115" workbookViewId="0">
      <selection activeCell="F169" sqref="F169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5" width="13.7109375" customWidth="1"/>
    <col min="6" max="8" width="14.28515625" customWidth="1"/>
    <col min="9" max="9" width="16.28515625" customWidth="1"/>
    <col min="12" max="12" width="16.7109375" customWidth="1"/>
    <col min="13" max="13" width="11.855468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</row>
    <row r="2" spans="1:13">
      <c r="A2">
        <v>1</v>
      </c>
      <c r="B2" t="s">
        <v>6</v>
      </c>
      <c r="C2" s="1">
        <v>46025</v>
      </c>
      <c r="D2">
        <v>1000</v>
      </c>
      <c r="E2">
        <f>SUMIFS($D$2:$D$169,$B$2:$B$169,B2,$C$2:$C$169,"&gt;="&amp;C2,$C$2:$C$169,"&lt;="&amp;C2+5)</f>
        <v>2400</v>
      </c>
      <c r="F2">
        <f>IF(C2&lt;=DATE(2026,12,26),E2,"")</f>
        <v>2400</v>
      </c>
      <c r="M2" s="1"/>
    </row>
    <row r="3" spans="1:13">
      <c r="A3">
        <v>2</v>
      </c>
      <c r="B3" t="s">
        <v>7</v>
      </c>
      <c r="C3" s="1">
        <v>46025</v>
      </c>
      <c r="D3">
        <v>6000</v>
      </c>
      <c r="E3">
        <f t="shared" ref="E3:E66" si="0">SUMIFS($D$2:$D$169,$B$2:$B$169,B3,$C$2:$C$169,"&gt;="&amp;C3,$C$2:$C$169,"&lt;="&amp;C3+5)</f>
        <v>6000</v>
      </c>
      <c r="F3">
        <f t="shared" ref="F3:F66" si="1">IF(C3&lt;=DATE(2026,12,26),E3,"")</f>
        <v>6000</v>
      </c>
      <c r="M3" s="1"/>
    </row>
    <row r="4" spans="1:13">
      <c r="A4">
        <v>3</v>
      </c>
      <c r="B4" t="s">
        <v>6</v>
      </c>
      <c r="C4" s="1">
        <v>46026</v>
      </c>
      <c r="D4">
        <v>400</v>
      </c>
      <c r="E4">
        <f t="shared" si="0"/>
        <v>1400</v>
      </c>
      <c r="F4">
        <f t="shared" si="1"/>
        <v>1400</v>
      </c>
      <c r="M4" s="1"/>
    </row>
    <row r="5" spans="1:13">
      <c r="A5">
        <v>4</v>
      </c>
      <c r="B5" t="s">
        <v>8</v>
      </c>
      <c r="C5" s="1">
        <v>46027</v>
      </c>
      <c r="D5">
        <v>900</v>
      </c>
      <c r="E5">
        <f t="shared" si="0"/>
        <v>1400</v>
      </c>
      <c r="F5">
        <f t="shared" si="1"/>
        <v>1400</v>
      </c>
      <c r="M5" s="1"/>
    </row>
    <row r="6" spans="1:13">
      <c r="A6">
        <v>5</v>
      </c>
      <c r="B6" t="s">
        <v>9</v>
      </c>
      <c r="C6" s="1">
        <v>46028</v>
      </c>
      <c r="D6">
        <v>600</v>
      </c>
      <c r="E6">
        <f t="shared" si="0"/>
        <v>600</v>
      </c>
      <c r="F6">
        <f t="shared" si="1"/>
        <v>600</v>
      </c>
      <c r="M6" s="1"/>
    </row>
    <row r="7" spans="1:13">
      <c r="A7">
        <v>6</v>
      </c>
      <c r="B7" t="s">
        <v>6</v>
      </c>
      <c r="C7" s="1">
        <v>46029</v>
      </c>
      <c r="D7">
        <v>1000</v>
      </c>
      <c r="E7">
        <f t="shared" si="0"/>
        <v>1000</v>
      </c>
      <c r="F7">
        <f t="shared" si="1"/>
        <v>1000</v>
      </c>
      <c r="M7" s="1"/>
    </row>
    <row r="8" spans="1:13">
      <c r="A8">
        <v>7</v>
      </c>
      <c r="B8" t="s">
        <v>8</v>
      </c>
      <c r="C8" s="1">
        <v>46031</v>
      </c>
      <c r="D8">
        <v>500</v>
      </c>
      <c r="E8">
        <f t="shared" si="0"/>
        <v>500</v>
      </c>
      <c r="F8">
        <f t="shared" si="1"/>
        <v>500</v>
      </c>
      <c r="M8" s="1"/>
    </row>
    <row r="9" spans="1:13">
      <c r="A9">
        <v>8</v>
      </c>
      <c r="B9" t="s">
        <v>10</v>
      </c>
      <c r="C9" s="1">
        <v>46034</v>
      </c>
      <c r="D9">
        <v>400</v>
      </c>
      <c r="E9">
        <f t="shared" si="0"/>
        <v>400</v>
      </c>
      <c r="F9">
        <f t="shared" si="1"/>
        <v>400</v>
      </c>
      <c r="M9" s="1"/>
    </row>
    <row r="10" spans="1:13">
      <c r="A10">
        <v>9</v>
      </c>
      <c r="B10" t="s">
        <v>7</v>
      </c>
      <c r="C10" s="1">
        <v>46035</v>
      </c>
      <c r="D10">
        <v>600</v>
      </c>
      <c r="E10">
        <f t="shared" si="0"/>
        <v>600</v>
      </c>
      <c r="F10">
        <f t="shared" si="1"/>
        <v>600</v>
      </c>
      <c r="M10" s="1"/>
    </row>
    <row r="11" spans="1:13">
      <c r="A11">
        <v>10</v>
      </c>
      <c r="B11" t="s">
        <v>9</v>
      </c>
      <c r="C11" s="1">
        <v>46039</v>
      </c>
      <c r="D11">
        <v>900</v>
      </c>
      <c r="E11">
        <f t="shared" si="0"/>
        <v>900</v>
      </c>
      <c r="F11">
        <f t="shared" si="1"/>
        <v>900</v>
      </c>
      <c r="M11" s="1"/>
    </row>
    <row r="12" spans="1:13">
      <c r="A12">
        <v>11</v>
      </c>
      <c r="B12" t="s">
        <v>8</v>
      </c>
      <c r="C12" s="1">
        <v>46042</v>
      </c>
      <c r="D12">
        <v>800</v>
      </c>
      <c r="E12">
        <f t="shared" si="0"/>
        <v>800</v>
      </c>
      <c r="F12">
        <f t="shared" si="1"/>
        <v>800</v>
      </c>
      <c r="M12" s="1"/>
    </row>
    <row r="13" spans="1:13">
      <c r="A13">
        <v>12</v>
      </c>
      <c r="B13" t="s">
        <v>6</v>
      </c>
      <c r="C13" s="1">
        <v>46046</v>
      </c>
      <c r="D13">
        <v>1000</v>
      </c>
      <c r="E13">
        <f t="shared" si="0"/>
        <v>1000</v>
      </c>
      <c r="F13">
        <f t="shared" si="1"/>
        <v>1000</v>
      </c>
      <c r="M13" s="1"/>
    </row>
    <row r="14" spans="1:13">
      <c r="A14">
        <v>13</v>
      </c>
      <c r="B14" t="s">
        <v>9</v>
      </c>
      <c r="C14" s="1">
        <v>46050</v>
      </c>
      <c r="D14">
        <v>3000</v>
      </c>
      <c r="E14">
        <f t="shared" si="0"/>
        <v>3000</v>
      </c>
      <c r="F14">
        <f t="shared" si="1"/>
        <v>3000</v>
      </c>
      <c r="M14" s="1"/>
    </row>
    <row r="15" spans="1:13">
      <c r="A15">
        <v>14</v>
      </c>
      <c r="B15" t="s">
        <v>10</v>
      </c>
      <c r="C15" s="1">
        <v>46050</v>
      </c>
      <c r="D15">
        <v>2000</v>
      </c>
      <c r="E15">
        <f t="shared" si="0"/>
        <v>2000</v>
      </c>
      <c r="F15">
        <f t="shared" si="1"/>
        <v>2000</v>
      </c>
      <c r="M15" s="1"/>
    </row>
    <row r="16" spans="1:13" s="3" customFormat="1">
      <c r="A16" s="3">
        <v>15</v>
      </c>
      <c r="B16" s="3" t="str">
        <f>B2</f>
        <v>SKU PROD A</v>
      </c>
      <c r="C16" s="4">
        <f>EDATE(C2,1)</f>
        <v>46056</v>
      </c>
      <c r="D16" s="3">
        <f>ROUNDUP(D2*(1+
IF(MONTH(C16)=2,IF(DAY(C16)&lt;15,5%,7.5%),
IF(MONTH(C16)=3,IF(DAY(C16)&lt;20,-2%,1.5%),
IF(MONTH(C16)=4,IF(DAY(C16)&lt;17,2.5%,-5%),
IF(MONTH(C16)=5,IF(DAY(C16)&lt;22,-5%,5%),
IF(MONTH(C16)=6,-5%,
IF(MONTH(C16)=7,IF(DAY(C16)&lt;10,15%,-5%),
IF(MONTH(C16)=8,IF(DAY(C16)&lt;25,-15%,3%),
IF(MONTH(C16)=9,IF(DAY(C16)&lt;25,-15%,3%),
IF(MONTH(C16)=10,IF(DAY(C16)&lt;11,-10%,-5%),
IF(MONTH(C16)=11,IF(DAY(C16)&lt;13,12%,6%),
IF(MONTH(C16)=12,IF(DAY(C16)&lt;10,6%,12%),0)
))))))))))),0)</f>
        <v>1050</v>
      </c>
      <c r="E16">
        <f t="shared" si="0"/>
        <v>2520</v>
      </c>
      <c r="F16">
        <f t="shared" si="1"/>
        <v>2520</v>
      </c>
      <c r="M16" s="4"/>
    </row>
    <row r="17" spans="1:13">
      <c r="A17">
        <v>16</v>
      </c>
      <c r="B17" s="3" t="str">
        <f t="shared" ref="B17:B80" si="2">B3</f>
        <v>SKU PROD B</v>
      </c>
      <c r="C17" s="4">
        <f t="shared" ref="C17:C80" si="3">EDATE(C3,1)</f>
        <v>46056</v>
      </c>
      <c r="D17" s="3">
        <f t="shared" ref="D17:D80" si="4">ROUNDUP(D3*(1+
IF(MONTH(C17)=2,IF(DAY(C17)&lt;15,5%,7.5%),
IF(MONTH(C17)=3,IF(DAY(C17)&lt;20,-2%,1.5%),
IF(MONTH(C17)=4,IF(DAY(C17)&lt;17,2.5%,-5%),
IF(MONTH(C17)=5,IF(DAY(C17)&lt;22,-5%,5%),
IF(MONTH(C17)=6,-5%,
IF(MONTH(C17)=7,IF(DAY(C17)&lt;10,15%,-5%),
IF(MONTH(C17)=8,IF(DAY(C17)&lt;25,-15%,3%),
IF(MONTH(C17)=9,IF(DAY(C17)&lt;25,-15%,3%),
IF(MONTH(C17)=10,IF(DAY(C17)&lt;11,-10%,-5%),
IF(MONTH(C17)=11,IF(DAY(C17)&lt;13,12%,6%),
IF(MONTH(C17)=12,IF(DAY(C17)&lt;10,6%,12%),0)
))))))))))),0)</f>
        <v>6300</v>
      </c>
      <c r="E17">
        <f t="shared" si="0"/>
        <v>6300</v>
      </c>
      <c r="F17">
        <f t="shared" si="1"/>
        <v>6300</v>
      </c>
      <c r="M17" s="1"/>
    </row>
    <row r="18" spans="1:13">
      <c r="A18">
        <v>17</v>
      </c>
      <c r="B18" s="3" t="str">
        <f t="shared" si="2"/>
        <v>SKU PROD A</v>
      </c>
      <c r="C18" s="4">
        <f t="shared" si="3"/>
        <v>46057</v>
      </c>
      <c r="D18" s="3">
        <f t="shared" si="4"/>
        <v>420</v>
      </c>
      <c r="E18">
        <f t="shared" si="0"/>
        <v>1470</v>
      </c>
      <c r="F18">
        <f t="shared" si="1"/>
        <v>1470</v>
      </c>
      <c r="M18" s="1"/>
    </row>
    <row r="19" spans="1:13">
      <c r="A19">
        <v>18</v>
      </c>
      <c r="B19" s="3" t="str">
        <f t="shared" si="2"/>
        <v>SKU PROD C</v>
      </c>
      <c r="C19" s="4">
        <f t="shared" si="3"/>
        <v>46058</v>
      </c>
      <c r="D19" s="3">
        <f t="shared" si="4"/>
        <v>945</v>
      </c>
      <c r="E19">
        <f t="shared" si="0"/>
        <v>1470</v>
      </c>
      <c r="F19">
        <f t="shared" si="1"/>
        <v>1470</v>
      </c>
      <c r="M19" s="1"/>
    </row>
    <row r="20" spans="1:13">
      <c r="A20">
        <v>19</v>
      </c>
      <c r="B20" s="3" t="str">
        <f t="shared" si="2"/>
        <v>SKU PROD D</v>
      </c>
      <c r="C20" s="4">
        <f t="shared" si="3"/>
        <v>46059</v>
      </c>
      <c r="D20" s="3">
        <f t="shared" si="4"/>
        <v>630</v>
      </c>
      <c r="E20">
        <f t="shared" si="0"/>
        <v>630</v>
      </c>
      <c r="F20">
        <f t="shared" si="1"/>
        <v>630</v>
      </c>
      <c r="M20" s="1"/>
    </row>
    <row r="21" spans="1:13">
      <c r="A21">
        <v>20</v>
      </c>
      <c r="B21" s="3" t="str">
        <f t="shared" si="2"/>
        <v>SKU PROD A</v>
      </c>
      <c r="C21" s="4">
        <f t="shared" si="3"/>
        <v>46060</v>
      </c>
      <c r="D21" s="3">
        <f t="shared" si="4"/>
        <v>1050</v>
      </c>
      <c r="E21">
        <f t="shared" si="0"/>
        <v>1050</v>
      </c>
      <c r="F21">
        <f t="shared" si="1"/>
        <v>1050</v>
      </c>
      <c r="M21" s="1"/>
    </row>
    <row r="22" spans="1:13">
      <c r="A22">
        <v>21</v>
      </c>
      <c r="B22" s="3" t="str">
        <f t="shared" si="2"/>
        <v>SKU PROD C</v>
      </c>
      <c r="C22" s="4">
        <f t="shared" si="3"/>
        <v>46062</v>
      </c>
      <c r="D22" s="3">
        <f t="shared" si="4"/>
        <v>525</v>
      </c>
      <c r="E22">
        <f t="shared" si="0"/>
        <v>525</v>
      </c>
      <c r="F22">
        <f t="shared" si="1"/>
        <v>525</v>
      </c>
      <c r="M22" s="1"/>
    </row>
    <row r="23" spans="1:13">
      <c r="A23">
        <v>22</v>
      </c>
      <c r="B23" s="3" t="str">
        <f t="shared" si="2"/>
        <v>SKU PROD E</v>
      </c>
      <c r="C23" s="4">
        <f t="shared" si="3"/>
        <v>46065</v>
      </c>
      <c r="D23" s="3">
        <f t="shared" si="4"/>
        <v>420</v>
      </c>
      <c r="E23">
        <f t="shared" si="0"/>
        <v>420</v>
      </c>
      <c r="F23">
        <f t="shared" si="1"/>
        <v>420</v>
      </c>
      <c r="M23" s="1"/>
    </row>
    <row r="24" spans="1:13">
      <c r="A24">
        <v>23</v>
      </c>
      <c r="B24" s="3" t="str">
        <f t="shared" si="2"/>
        <v>SKU PROD B</v>
      </c>
      <c r="C24" s="4">
        <f t="shared" si="3"/>
        <v>46066</v>
      </c>
      <c r="D24" s="3">
        <f t="shared" si="4"/>
        <v>630</v>
      </c>
      <c r="E24">
        <f t="shared" si="0"/>
        <v>630</v>
      </c>
      <c r="F24">
        <f t="shared" si="1"/>
        <v>630</v>
      </c>
      <c r="M24" s="1"/>
    </row>
    <row r="25" spans="1:13">
      <c r="A25">
        <v>24</v>
      </c>
      <c r="B25" s="3" t="str">
        <f t="shared" si="2"/>
        <v>SKU PROD D</v>
      </c>
      <c r="C25" s="4">
        <f t="shared" si="3"/>
        <v>46070</v>
      </c>
      <c r="D25" s="3">
        <f t="shared" si="4"/>
        <v>968</v>
      </c>
      <c r="E25">
        <f t="shared" si="0"/>
        <v>968</v>
      </c>
      <c r="F25">
        <f t="shared" si="1"/>
        <v>968</v>
      </c>
      <c r="M25" s="1"/>
    </row>
    <row r="26" spans="1:13">
      <c r="A26">
        <v>25</v>
      </c>
      <c r="B26" s="3" t="str">
        <f t="shared" si="2"/>
        <v>SKU PROD C</v>
      </c>
      <c r="C26" s="4">
        <f t="shared" si="3"/>
        <v>46073</v>
      </c>
      <c r="D26" s="3">
        <f t="shared" si="4"/>
        <v>860</v>
      </c>
      <c r="E26">
        <f t="shared" si="0"/>
        <v>860</v>
      </c>
      <c r="F26">
        <f t="shared" si="1"/>
        <v>860</v>
      </c>
      <c r="M26" s="1"/>
    </row>
    <row r="27" spans="1:13">
      <c r="A27">
        <v>26</v>
      </c>
      <c r="B27" s="3" t="str">
        <f t="shared" si="2"/>
        <v>SKU PROD A</v>
      </c>
      <c r="C27" s="4">
        <f t="shared" si="3"/>
        <v>46077</v>
      </c>
      <c r="D27" s="3">
        <f t="shared" si="4"/>
        <v>1075</v>
      </c>
      <c r="E27">
        <f t="shared" si="0"/>
        <v>1075</v>
      </c>
      <c r="F27">
        <f t="shared" si="1"/>
        <v>1075</v>
      </c>
      <c r="M27" s="1"/>
    </row>
    <row r="28" spans="1:13">
      <c r="A28">
        <v>27</v>
      </c>
      <c r="B28" s="3" t="str">
        <f t="shared" si="2"/>
        <v>SKU PROD D</v>
      </c>
      <c r="C28" s="4">
        <f t="shared" si="3"/>
        <v>46081</v>
      </c>
      <c r="D28" s="3">
        <f t="shared" si="4"/>
        <v>3225</v>
      </c>
      <c r="E28">
        <f t="shared" si="0"/>
        <v>3225</v>
      </c>
      <c r="F28">
        <f t="shared" si="1"/>
        <v>3225</v>
      </c>
      <c r="M28" s="1"/>
    </row>
    <row r="29" spans="1:13">
      <c r="A29">
        <v>28</v>
      </c>
      <c r="B29" s="3" t="str">
        <f t="shared" si="2"/>
        <v>SKU PROD E</v>
      </c>
      <c r="C29" s="4">
        <f t="shared" si="3"/>
        <v>46081</v>
      </c>
      <c r="D29" s="3">
        <f t="shared" si="4"/>
        <v>2150</v>
      </c>
      <c r="E29">
        <f t="shared" si="0"/>
        <v>2150</v>
      </c>
      <c r="F29">
        <f t="shared" si="1"/>
        <v>2150</v>
      </c>
      <c r="M29" s="1"/>
    </row>
    <row r="30" spans="1:13">
      <c r="A30">
        <v>29</v>
      </c>
      <c r="B30" s="3" t="str">
        <f t="shared" si="2"/>
        <v>SKU PROD A</v>
      </c>
      <c r="C30" s="4">
        <f t="shared" si="3"/>
        <v>46084</v>
      </c>
      <c r="D30" s="3">
        <f t="shared" si="4"/>
        <v>1029</v>
      </c>
      <c r="E30">
        <f t="shared" si="0"/>
        <v>2470</v>
      </c>
      <c r="F30">
        <f t="shared" si="1"/>
        <v>2470</v>
      </c>
      <c r="M30" s="1"/>
    </row>
    <row r="31" spans="1:13">
      <c r="A31">
        <v>30</v>
      </c>
      <c r="B31" s="3" t="str">
        <f t="shared" si="2"/>
        <v>SKU PROD B</v>
      </c>
      <c r="C31" s="4">
        <f t="shared" si="3"/>
        <v>46084</v>
      </c>
      <c r="D31" s="3">
        <f t="shared" si="4"/>
        <v>6174</v>
      </c>
      <c r="E31">
        <f t="shared" si="0"/>
        <v>6174</v>
      </c>
      <c r="F31">
        <f t="shared" si="1"/>
        <v>6174</v>
      </c>
      <c r="M31" s="1"/>
    </row>
    <row r="32" spans="1:13">
      <c r="A32">
        <v>31</v>
      </c>
      <c r="B32" s="3" t="str">
        <f t="shared" si="2"/>
        <v>SKU PROD A</v>
      </c>
      <c r="C32" s="4">
        <f t="shared" si="3"/>
        <v>46085</v>
      </c>
      <c r="D32" s="3">
        <f t="shared" si="4"/>
        <v>412</v>
      </c>
      <c r="E32">
        <f t="shared" si="0"/>
        <v>1441</v>
      </c>
      <c r="F32">
        <f t="shared" si="1"/>
        <v>1441</v>
      </c>
      <c r="M32" s="1"/>
    </row>
    <row r="33" spans="1:13">
      <c r="A33">
        <v>32</v>
      </c>
      <c r="B33" s="3" t="str">
        <f t="shared" si="2"/>
        <v>SKU PROD C</v>
      </c>
      <c r="C33" s="4">
        <f t="shared" si="3"/>
        <v>46086</v>
      </c>
      <c r="D33" s="3">
        <f t="shared" si="4"/>
        <v>927</v>
      </c>
      <c r="E33">
        <f t="shared" si="0"/>
        <v>1442</v>
      </c>
      <c r="F33">
        <f t="shared" si="1"/>
        <v>1442</v>
      </c>
      <c r="M33" s="1"/>
    </row>
    <row r="34" spans="1:13">
      <c r="A34">
        <v>33</v>
      </c>
      <c r="B34" s="3" t="str">
        <f t="shared" si="2"/>
        <v>SKU PROD D</v>
      </c>
      <c r="C34" s="4">
        <f t="shared" si="3"/>
        <v>46087</v>
      </c>
      <c r="D34" s="3">
        <f t="shared" si="4"/>
        <v>618</v>
      </c>
      <c r="E34">
        <f t="shared" si="0"/>
        <v>618</v>
      </c>
      <c r="F34">
        <f t="shared" si="1"/>
        <v>618</v>
      </c>
      <c r="M34" s="1"/>
    </row>
    <row r="35" spans="1:13">
      <c r="A35">
        <v>34</v>
      </c>
      <c r="B35" s="3" t="str">
        <f t="shared" si="2"/>
        <v>SKU PROD A</v>
      </c>
      <c r="C35" s="4">
        <f t="shared" si="3"/>
        <v>46088</v>
      </c>
      <c r="D35" s="3">
        <f t="shared" si="4"/>
        <v>1029</v>
      </c>
      <c r="E35">
        <f t="shared" si="0"/>
        <v>1029</v>
      </c>
      <c r="F35">
        <f t="shared" si="1"/>
        <v>1029</v>
      </c>
      <c r="M35" s="1"/>
    </row>
    <row r="36" spans="1:13">
      <c r="A36">
        <v>35</v>
      </c>
      <c r="B36" s="3" t="str">
        <f t="shared" si="2"/>
        <v>SKU PROD C</v>
      </c>
      <c r="C36" s="4">
        <f t="shared" si="3"/>
        <v>46090</v>
      </c>
      <c r="D36" s="3">
        <f t="shared" si="4"/>
        <v>515</v>
      </c>
      <c r="E36">
        <f t="shared" si="0"/>
        <v>515</v>
      </c>
      <c r="F36">
        <f t="shared" si="1"/>
        <v>515</v>
      </c>
      <c r="M36" s="1"/>
    </row>
    <row r="37" spans="1:13">
      <c r="A37">
        <v>36</v>
      </c>
      <c r="B37" s="3" t="str">
        <f t="shared" si="2"/>
        <v>SKU PROD E</v>
      </c>
      <c r="C37" s="4">
        <f t="shared" si="3"/>
        <v>46093</v>
      </c>
      <c r="D37" s="3">
        <f t="shared" si="4"/>
        <v>412</v>
      </c>
      <c r="E37">
        <f t="shared" si="0"/>
        <v>412</v>
      </c>
      <c r="F37">
        <f t="shared" si="1"/>
        <v>412</v>
      </c>
      <c r="M37" s="1"/>
    </row>
    <row r="38" spans="1:13">
      <c r="A38">
        <v>37</v>
      </c>
      <c r="B38" s="3" t="str">
        <f t="shared" si="2"/>
        <v>SKU PROD B</v>
      </c>
      <c r="C38" s="4">
        <f t="shared" si="3"/>
        <v>46094</v>
      </c>
      <c r="D38" s="3">
        <f t="shared" si="4"/>
        <v>618</v>
      </c>
      <c r="E38">
        <f t="shared" si="0"/>
        <v>618</v>
      </c>
      <c r="F38">
        <f t="shared" si="1"/>
        <v>618</v>
      </c>
      <c r="M38" s="1"/>
    </row>
    <row r="39" spans="1:13">
      <c r="A39">
        <v>38</v>
      </c>
      <c r="B39" s="3" t="str">
        <f t="shared" si="2"/>
        <v>SKU PROD D</v>
      </c>
      <c r="C39" s="4">
        <f t="shared" si="3"/>
        <v>46098</v>
      </c>
      <c r="D39" s="3">
        <f t="shared" si="4"/>
        <v>949</v>
      </c>
      <c r="E39">
        <f t="shared" si="0"/>
        <v>949</v>
      </c>
      <c r="F39">
        <f t="shared" si="1"/>
        <v>949</v>
      </c>
      <c r="M39" s="1"/>
    </row>
    <row r="40" spans="1:13">
      <c r="A40">
        <v>39</v>
      </c>
      <c r="B40" s="3" t="str">
        <f t="shared" si="2"/>
        <v>SKU PROD C</v>
      </c>
      <c r="C40" s="4">
        <f t="shared" si="3"/>
        <v>46101</v>
      </c>
      <c r="D40" s="3">
        <f t="shared" si="4"/>
        <v>873</v>
      </c>
      <c r="E40">
        <f t="shared" si="0"/>
        <v>873</v>
      </c>
      <c r="F40">
        <f t="shared" si="1"/>
        <v>873</v>
      </c>
      <c r="M40" s="1"/>
    </row>
    <row r="41" spans="1:13">
      <c r="A41">
        <v>40</v>
      </c>
      <c r="B41" s="3" t="str">
        <f t="shared" si="2"/>
        <v>SKU PROD A</v>
      </c>
      <c r="C41" s="4">
        <f t="shared" si="3"/>
        <v>46105</v>
      </c>
      <c r="D41" s="3">
        <f t="shared" si="4"/>
        <v>1092</v>
      </c>
      <c r="E41">
        <f t="shared" si="0"/>
        <v>1092</v>
      </c>
      <c r="F41">
        <f t="shared" si="1"/>
        <v>1092</v>
      </c>
      <c r="M41" s="1"/>
    </row>
    <row r="42" spans="1:13">
      <c r="A42">
        <v>41</v>
      </c>
      <c r="B42" s="3" t="str">
        <f t="shared" si="2"/>
        <v>SKU PROD D</v>
      </c>
      <c r="C42" s="4">
        <f t="shared" si="3"/>
        <v>46109</v>
      </c>
      <c r="D42" s="3">
        <f t="shared" si="4"/>
        <v>3274</v>
      </c>
      <c r="E42">
        <f t="shared" si="0"/>
        <v>3274</v>
      </c>
      <c r="F42">
        <f t="shared" si="1"/>
        <v>3274</v>
      </c>
      <c r="M42" s="1"/>
    </row>
    <row r="43" spans="1:13">
      <c r="A43">
        <v>42</v>
      </c>
      <c r="B43" s="3" t="str">
        <f t="shared" si="2"/>
        <v>SKU PROD E</v>
      </c>
      <c r="C43" s="4">
        <f t="shared" si="3"/>
        <v>46109</v>
      </c>
      <c r="D43" s="3">
        <f t="shared" si="4"/>
        <v>2183</v>
      </c>
      <c r="E43">
        <f t="shared" si="0"/>
        <v>2183</v>
      </c>
      <c r="F43">
        <f t="shared" si="1"/>
        <v>2183</v>
      </c>
      <c r="M43" s="1"/>
    </row>
    <row r="44" spans="1:13">
      <c r="A44">
        <v>43</v>
      </c>
      <c r="B44" s="3" t="str">
        <f t="shared" si="2"/>
        <v>SKU PROD A</v>
      </c>
      <c r="C44" s="4">
        <f t="shared" si="3"/>
        <v>46115</v>
      </c>
      <c r="D44" s="3">
        <f t="shared" si="4"/>
        <v>1055</v>
      </c>
      <c r="E44">
        <f t="shared" si="0"/>
        <v>2533</v>
      </c>
      <c r="F44">
        <f t="shared" si="1"/>
        <v>2533</v>
      </c>
      <c r="M44" s="1"/>
    </row>
    <row r="45" spans="1:13">
      <c r="A45">
        <v>44</v>
      </c>
      <c r="B45" s="3" t="str">
        <f t="shared" si="2"/>
        <v>SKU PROD B</v>
      </c>
      <c r="C45" s="4">
        <f t="shared" si="3"/>
        <v>46115</v>
      </c>
      <c r="D45" s="3">
        <f t="shared" si="4"/>
        <v>6329</v>
      </c>
      <c r="E45">
        <f t="shared" si="0"/>
        <v>6329</v>
      </c>
      <c r="F45">
        <f t="shared" si="1"/>
        <v>6329</v>
      </c>
      <c r="M45" s="1"/>
    </row>
    <row r="46" spans="1:13">
      <c r="A46">
        <v>45</v>
      </c>
      <c r="B46" s="3" t="str">
        <f t="shared" si="2"/>
        <v>SKU PROD A</v>
      </c>
      <c r="C46" s="4">
        <f t="shared" si="3"/>
        <v>46116</v>
      </c>
      <c r="D46" s="3">
        <f t="shared" si="4"/>
        <v>423</v>
      </c>
      <c r="E46">
        <f t="shared" si="0"/>
        <v>1478</v>
      </c>
      <c r="F46">
        <f t="shared" si="1"/>
        <v>1478</v>
      </c>
      <c r="M46" s="1"/>
    </row>
    <row r="47" spans="1:13">
      <c r="A47">
        <v>46</v>
      </c>
      <c r="B47" s="3" t="str">
        <f t="shared" si="2"/>
        <v>SKU PROD C</v>
      </c>
      <c r="C47" s="4">
        <f t="shared" si="3"/>
        <v>46117</v>
      </c>
      <c r="D47" s="3">
        <f t="shared" si="4"/>
        <v>951</v>
      </c>
      <c r="E47">
        <f t="shared" si="0"/>
        <v>1479</v>
      </c>
      <c r="F47">
        <f t="shared" si="1"/>
        <v>1479</v>
      </c>
      <c r="M47" s="1"/>
    </row>
    <row r="48" spans="1:13">
      <c r="A48">
        <v>47</v>
      </c>
      <c r="B48" s="3" t="str">
        <f t="shared" si="2"/>
        <v>SKU PROD D</v>
      </c>
      <c r="C48" s="4">
        <f t="shared" si="3"/>
        <v>46118</v>
      </c>
      <c r="D48" s="3">
        <f t="shared" si="4"/>
        <v>634</v>
      </c>
      <c r="E48">
        <f t="shared" si="0"/>
        <v>634</v>
      </c>
      <c r="F48">
        <f t="shared" si="1"/>
        <v>634</v>
      </c>
      <c r="M48" s="1"/>
    </row>
    <row r="49" spans="1:13">
      <c r="A49">
        <v>48</v>
      </c>
      <c r="B49" s="3" t="str">
        <f t="shared" si="2"/>
        <v>SKU PROD A</v>
      </c>
      <c r="C49" s="4">
        <f t="shared" si="3"/>
        <v>46119</v>
      </c>
      <c r="D49" s="3">
        <f t="shared" si="4"/>
        <v>1055</v>
      </c>
      <c r="E49">
        <f t="shared" si="0"/>
        <v>1055</v>
      </c>
      <c r="F49">
        <f t="shared" si="1"/>
        <v>1055</v>
      </c>
      <c r="M49" s="1"/>
    </row>
    <row r="50" spans="1:13">
      <c r="A50">
        <v>49</v>
      </c>
      <c r="B50" s="3" t="str">
        <f t="shared" si="2"/>
        <v>SKU PROD C</v>
      </c>
      <c r="C50" s="4">
        <f t="shared" si="3"/>
        <v>46121</v>
      </c>
      <c r="D50" s="3">
        <f t="shared" si="4"/>
        <v>528</v>
      </c>
      <c r="E50">
        <f t="shared" si="0"/>
        <v>528</v>
      </c>
      <c r="F50">
        <f t="shared" si="1"/>
        <v>528</v>
      </c>
      <c r="M50" s="1"/>
    </row>
    <row r="51" spans="1:13">
      <c r="A51">
        <v>50</v>
      </c>
      <c r="B51" s="3" t="str">
        <f t="shared" si="2"/>
        <v>SKU PROD E</v>
      </c>
      <c r="C51" s="4">
        <f t="shared" si="3"/>
        <v>46124</v>
      </c>
      <c r="D51" s="3">
        <f t="shared" si="4"/>
        <v>423</v>
      </c>
      <c r="E51">
        <f t="shared" si="0"/>
        <v>423</v>
      </c>
      <c r="F51">
        <f t="shared" si="1"/>
        <v>423</v>
      </c>
      <c r="M51" s="1"/>
    </row>
    <row r="52" spans="1:13">
      <c r="A52">
        <v>51</v>
      </c>
      <c r="B52" s="3" t="str">
        <f t="shared" si="2"/>
        <v>SKU PROD B</v>
      </c>
      <c r="C52" s="4">
        <f t="shared" si="3"/>
        <v>46125</v>
      </c>
      <c r="D52" s="3">
        <f t="shared" si="4"/>
        <v>634</v>
      </c>
      <c r="E52">
        <f t="shared" si="0"/>
        <v>634</v>
      </c>
      <c r="F52">
        <f t="shared" si="1"/>
        <v>634</v>
      </c>
      <c r="M52" s="1"/>
    </row>
    <row r="53" spans="1:13">
      <c r="A53">
        <v>52</v>
      </c>
      <c r="B53" s="3" t="str">
        <f t="shared" si="2"/>
        <v>SKU PROD D</v>
      </c>
      <c r="C53" s="4">
        <f t="shared" si="3"/>
        <v>46129</v>
      </c>
      <c r="D53" s="3">
        <f t="shared" si="4"/>
        <v>902</v>
      </c>
      <c r="E53">
        <f t="shared" si="0"/>
        <v>902</v>
      </c>
      <c r="F53">
        <f t="shared" si="1"/>
        <v>902</v>
      </c>
      <c r="M53" s="1"/>
    </row>
    <row r="54" spans="1:13">
      <c r="A54">
        <v>53</v>
      </c>
      <c r="B54" s="3" t="str">
        <f t="shared" si="2"/>
        <v>SKU PROD C</v>
      </c>
      <c r="C54" s="4">
        <f t="shared" si="3"/>
        <v>46132</v>
      </c>
      <c r="D54" s="3">
        <f t="shared" si="4"/>
        <v>830</v>
      </c>
      <c r="E54">
        <f t="shared" si="0"/>
        <v>830</v>
      </c>
      <c r="F54">
        <f t="shared" si="1"/>
        <v>830</v>
      </c>
      <c r="M54" s="1"/>
    </row>
    <row r="55" spans="1:13">
      <c r="A55">
        <v>54</v>
      </c>
      <c r="B55" s="3" t="str">
        <f t="shared" si="2"/>
        <v>SKU PROD A</v>
      </c>
      <c r="C55" s="4">
        <f t="shared" si="3"/>
        <v>46136</v>
      </c>
      <c r="D55" s="3">
        <f t="shared" si="4"/>
        <v>1038</v>
      </c>
      <c r="E55">
        <f t="shared" si="0"/>
        <v>1038</v>
      </c>
      <c r="F55">
        <f t="shared" si="1"/>
        <v>1038</v>
      </c>
      <c r="M55" s="1"/>
    </row>
    <row r="56" spans="1:13">
      <c r="A56">
        <v>55</v>
      </c>
      <c r="B56" s="3" t="str">
        <f t="shared" si="2"/>
        <v>SKU PROD D</v>
      </c>
      <c r="C56" s="4">
        <f t="shared" si="3"/>
        <v>46140</v>
      </c>
      <c r="D56" s="3">
        <f t="shared" si="4"/>
        <v>3111</v>
      </c>
      <c r="E56">
        <f t="shared" si="0"/>
        <v>3111</v>
      </c>
      <c r="F56">
        <f t="shared" si="1"/>
        <v>3111</v>
      </c>
      <c r="M56" s="1"/>
    </row>
    <row r="57" spans="1:13">
      <c r="A57">
        <v>56</v>
      </c>
      <c r="B57" s="3" t="str">
        <f t="shared" si="2"/>
        <v>SKU PROD E</v>
      </c>
      <c r="C57" s="4">
        <f t="shared" si="3"/>
        <v>46140</v>
      </c>
      <c r="D57" s="3">
        <f t="shared" si="4"/>
        <v>2074</v>
      </c>
      <c r="E57">
        <f t="shared" si="0"/>
        <v>2074</v>
      </c>
      <c r="F57">
        <f t="shared" si="1"/>
        <v>2074</v>
      </c>
      <c r="M57" s="1"/>
    </row>
    <row r="58" spans="1:13">
      <c r="A58">
        <v>57</v>
      </c>
      <c r="B58" s="3" t="str">
        <f t="shared" si="2"/>
        <v>SKU PROD A</v>
      </c>
      <c r="C58" s="4">
        <f t="shared" si="3"/>
        <v>46145</v>
      </c>
      <c r="D58" s="3">
        <f t="shared" si="4"/>
        <v>1003</v>
      </c>
      <c r="E58">
        <f t="shared" si="0"/>
        <v>2408</v>
      </c>
      <c r="F58">
        <f t="shared" si="1"/>
        <v>2408</v>
      </c>
      <c r="M58" s="1"/>
    </row>
    <row r="59" spans="1:13">
      <c r="A59">
        <v>58</v>
      </c>
      <c r="B59" s="3" t="str">
        <f t="shared" si="2"/>
        <v>SKU PROD B</v>
      </c>
      <c r="C59" s="4">
        <f t="shared" si="3"/>
        <v>46145</v>
      </c>
      <c r="D59" s="3">
        <f t="shared" si="4"/>
        <v>6013</v>
      </c>
      <c r="E59">
        <f t="shared" si="0"/>
        <v>6013</v>
      </c>
      <c r="F59">
        <f t="shared" si="1"/>
        <v>6013</v>
      </c>
      <c r="M59" s="1"/>
    </row>
    <row r="60" spans="1:13">
      <c r="A60">
        <v>59</v>
      </c>
      <c r="B60" s="3" t="str">
        <f t="shared" si="2"/>
        <v>SKU PROD A</v>
      </c>
      <c r="C60" s="4">
        <f t="shared" si="3"/>
        <v>46146</v>
      </c>
      <c r="D60" s="3">
        <f t="shared" si="4"/>
        <v>402</v>
      </c>
      <c r="E60">
        <f t="shared" si="0"/>
        <v>1405</v>
      </c>
      <c r="F60">
        <f t="shared" si="1"/>
        <v>1405</v>
      </c>
      <c r="M60" s="1"/>
    </row>
    <row r="61" spans="1:13">
      <c r="A61">
        <v>60</v>
      </c>
      <c r="B61" s="3" t="str">
        <f t="shared" si="2"/>
        <v>SKU PROD C</v>
      </c>
      <c r="C61" s="4">
        <f t="shared" si="3"/>
        <v>46147</v>
      </c>
      <c r="D61" s="3">
        <f t="shared" si="4"/>
        <v>904</v>
      </c>
      <c r="E61">
        <f t="shared" si="0"/>
        <v>1406</v>
      </c>
      <c r="F61">
        <f t="shared" si="1"/>
        <v>1406</v>
      </c>
      <c r="M61" s="1"/>
    </row>
    <row r="62" spans="1:13">
      <c r="A62">
        <v>61</v>
      </c>
      <c r="B62" s="3" t="str">
        <f t="shared" si="2"/>
        <v>SKU PROD D</v>
      </c>
      <c r="C62" s="4">
        <f t="shared" si="3"/>
        <v>46148</v>
      </c>
      <c r="D62" s="3">
        <f t="shared" si="4"/>
        <v>603</v>
      </c>
      <c r="E62">
        <f t="shared" si="0"/>
        <v>603</v>
      </c>
      <c r="F62">
        <f t="shared" si="1"/>
        <v>603</v>
      </c>
      <c r="M62" s="1"/>
    </row>
    <row r="63" spans="1:13">
      <c r="A63">
        <v>62</v>
      </c>
      <c r="B63" s="3" t="str">
        <f t="shared" si="2"/>
        <v>SKU PROD A</v>
      </c>
      <c r="C63" s="4">
        <f t="shared" si="3"/>
        <v>46149</v>
      </c>
      <c r="D63" s="3">
        <f t="shared" si="4"/>
        <v>1003</v>
      </c>
      <c r="E63">
        <f t="shared" si="0"/>
        <v>1003</v>
      </c>
      <c r="F63">
        <f t="shared" si="1"/>
        <v>1003</v>
      </c>
      <c r="M63" s="1"/>
    </row>
    <row r="64" spans="1:13">
      <c r="A64">
        <v>63</v>
      </c>
      <c r="B64" s="3" t="str">
        <f t="shared" si="2"/>
        <v>SKU PROD C</v>
      </c>
      <c r="C64" s="4">
        <f t="shared" si="3"/>
        <v>46151</v>
      </c>
      <c r="D64" s="3">
        <f t="shared" si="4"/>
        <v>502</v>
      </c>
      <c r="E64">
        <f t="shared" si="0"/>
        <v>502</v>
      </c>
      <c r="F64">
        <f t="shared" si="1"/>
        <v>502</v>
      </c>
      <c r="M64" s="1"/>
    </row>
    <row r="65" spans="1:13">
      <c r="A65">
        <v>64</v>
      </c>
      <c r="B65" s="3" t="str">
        <f t="shared" si="2"/>
        <v>SKU PROD E</v>
      </c>
      <c r="C65" s="4">
        <f t="shared" si="3"/>
        <v>46154</v>
      </c>
      <c r="D65" s="3">
        <f t="shared" si="4"/>
        <v>402</v>
      </c>
      <c r="E65">
        <f t="shared" si="0"/>
        <v>402</v>
      </c>
      <c r="F65">
        <f t="shared" si="1"/>
        <v>402</v>
      </c>
      <c r="M65" s="1"/>
    </row>
    <row r="66" spans="1:13">
      <c r="A66">
        <v>65</v>
      </c>
      <c r="B66" s="3" t="str">
        <f t="shared" si="2"/>
        <v>SKU PROD B</v>
      </c>
      <c r="C66" s="4">
        <f t="shared" si="3"/>
        <v>46155</v>
      </c>
      <c r="D66" s="3">
        <f t="shared" si="4"/>
        <v>603</v>
      </c>
      <c r="E66">
        <f t="shared" si="0"/>
        <v>603</v>
      </c>
      <c r="F66">
        <f t="shared" si="1"/>
        <v>603</v>
      </c>
      <c r="M66" s="1"/>
    </row>
    <row r="67" spans="1:13">
      <c r="A67">
        <v>66</v>
      </c>
      <c r="B67" s="3" t="str">
        <f t="shared" si="2"/>
        <v>SKU PROD D</v>
      </c>
      <c r="C67" s="4">
        <f t="shared" si="3"/>
        <v>46159</v>
      </c>
      <c r="D67" s="3">
        <f t="shared" si="4"/>
        <v>857</v>
      </c>
      <c r="E67">
        <f t="shared" ref="E67:E130" si="5">SUMIFS($D$2:$D$169,$B$2:$B$169,B67,$C$2:$C$169,"&gt;="&amp;C67,$C$2:$C$169,"&lt;="&amp;C67+5)</f>
        <v>857</v>
      </c>
      <c r="F67">
        <f t="shared" ref="F67:F130" si="6">IF(C67&lt;=DATE(2026,12,26),E67,"")</f>
        <v>857</v>
      </c>
      <c r="M67" s="1"/>
    </row>
    <row r="68" spans="1:13">
      <c r="A68">
        <v>67</v>
      </c>
      <c r="B68" s="3" t="str">
        <f t="shared" si="2"/>
        <v>SKU PROD C</v>
      </c>
      <c r="C68" s="4">
        <f t="shared" si="3"/>
        <v>46162</v>
      </c>
      <c r="D68" s="3">
        <f t="shared" si="4"/>
        <v>789</v>
      </c>
      <c r="E68">
        <f t="shared" si="5"/>
        <v>789</v>
      </c>
      <c r="F68">
        <f t="shared" si="6"/>
        <v>789</v>
      </c>
      <c r="M68" s="1"/>
    </row>
    <row r="69" spans="1:13">
      <c r="A69">
        <v>68</v>
      </c>
      <c r="B69" s="3" t="str">
        <f t="shared" si="2"/>
        <v>SKU PROD A</v>
      </c>
      <c r="C69" s="4">
        <f t="shared" si="3"/>
        <v>46166</v>
      </c>
      <c r="D69" s="3">
        <f t="shared" si="4"/>
        <v>1090</v>
      </c>
      <c r="E69">
        <f t="shared" si="5"/>
        <v>1090</v>
      </c>
      <c r="F69">
        <f t="shared" si="6"/>
        <v>1090</v>
      </c>
      <c r="M69" s="1"/>
    </row>
    <row r="70" spans="1:13">
      <c r="A70">
        <v>69</v>
      </c>
      <c r="B70" s="3" t="str">
        <f t="shared" si="2"/>
        <v>SKU PROD D</v>
      </c>
      <c r="C70" s="4">
        <f t="shared" si="3"/>
        <v>46170</v>
      </c>
      <c r="D70" s="3">
        <f t="shared" si="4"/>
        <v>3267</v>
      </c>
      <c r="E70">
        <f t="shared" si="5"/>
        <v>3267</v>
      </c>
      <c r="F70">
        <f t="shared" si="6"/>
        <v>3267</v>
      </c>
      <c r="M70" s="1"/>
    </row>
    <row r="71" spans="1:13">
      <c r="A71">
        <v>70</v>
      </c>
      <c r="B71" s="3" t="str">
        <f t="shared" si="2"/>
        <v>SKU PROD E</v>
      </c>
      <c r="C71" s="4">
        <f t="shared" si="3"/>
        <v>46170</v>
      </c>
      <c r="D71" s="3">
        <f t="shared" si="4"/>
        <v>2178</v>
      </c>
      <c r="E71">
        <f t="shared" si="5"/>
        <v>2178</v>
      </c>
      <c r="F71">
        <f t="shared" si="6"/>
        <v>2178</v>
      </c>
      <c r="M71" s="1"/>
    </row>
    <row r="72" spans="1:13">
      <c r="A72">
        <v>71</v>
      </c>
      <c r="B72" s="3" t="str">
        <f t="shared" si="2"/>
        <v>SKU PROD A</v>
      </c>
      <c r="C72" s="4">
        <f t="shared" si="3"/>
        <v>46176</v>
      </c>
      <c r="D72" s="3">
        <f t="shared" si="4"/>
        <v>953</v>
      </c>
      <c r="E72">
        <f t="shared" si="5"/>
        <v>2288</v>
      </c>
      <c r="F72">
        <f t="shared" si="6"/>
        <v>2288</v>
      </c>
      <c r="M72" s="1"/>
    </row>
    <row r="73" spans="1:13">
      <c r="A73">
        <v>72</v>
      </c>
      <c r="B73" s="3" t="str">
        <f t="shared" si="2"/>
        <v>SKU PROD B</v>
      </c>
      <c r="C73" s="4">
        <f t="shared" si="3"/>
        <v>46176</v>
      </c>
      <c r="D73" s="3">
        <f t="shared" si="4"/>
        <v>5713</v>
      </c>
      <c r="E73">
        <f t="shared" si="5"/>
        <v>5713</v>
      </c>
      <c r="F73">
        <f t="shared" si="6"/>
        <v>5713</v>
      </c>
      <c r="M73" s="1"/>
    </row>
    <row r="74" spans="1:13">
      <c r="A74">
        <v>73</v>
      </c>
      <c r="B74" s="3" t="str">
        <f t="shared" si="2"/>
        <v>SKU PROD A</v>
      </c>
      <c r="C74" s="4">
        <f t="shared" si="3"/>
        <v>46177</v>
      </c>
      <c r="D74" s="3">
        <f t="shared" si="4"/>
        <v>382</v>
      </c>
      <c r="E74">
        <f t="shared" si="5"/>
        <v>1335</v>
      </c>
      <c r="F74">
        <f t="shared" si="6"/>
        <v>1335</v>
      </c>
      <c r="M74" s="1"/>
    </row>
    <row r="75" spans="1:13">
      <c r="A75">
        <v>74</v>
      </c>
      <c r="B75" s="3" t="str">
        <f t="shared" si="2"/>
        <v>SKU PROD C</v>
      </c>
      <c r="C75" s="4">
        <f t="shared" si="3"/>
        <v>46178</v>
      </c>
      <c r="D75" s="3">
        <f t="shared" si="4"/>
        <v>859</v>
      </c>
      <c r="E75">
        <f t="shared" si="5"/>
        <v>1336</v>
      </c>
      <c r="F75">
        <f t="shared" si="6"/>
        <v>1336</v>
      </c>
      <c r="M75" s="1"/>
    </row>
    <row r="76" spans="1:13">
      <c r="A76">
        <v>75</v>
      </c>
      <c r="B76" s="3" t="str">
        <f t="shared" si="2"/>
        <v>SKU PROD D</v>
      </c>
      <c r="C76" s="4">
        <f t="shared" si="3"/>
        <v>46179</v>
      </c>
      <c r="D76" s="3">
        <f t="shared" si="4"/>
        <v>573</v>
      </c>
      <c r="E76">
        <f t="shared" si="5"/>
        <v>573</v>
      </c>
      <c r="F76">
        <f t="shared" si="6"/>
        <v>573</v>
      </c>
      <c r="M76" s="1"/>
    </row>
    <row r="77" spans="1:13">
      <c r="A77">
        <v>76</v>
      </c>
      <c r="B77" s="3" t="str">
        <f t="shared" si="2"/>
        <v>SKU PROD A</v>
      </c>
      <c r="C77" s="4">
        <f t="shared" si="3"/>
        <v>46180</v>
      </c>
      <c r="D77" s="3">
        <f t="shared" si="4"/>
        <v>953</v>
      </c>
      <c r="E77">
        <f t="shared" si="5"/>
        <v>953</v>
      </c>
      <c r="F77">
        <f t="shared" si="6"/>
        <v>953</v>
      </c>
      <c r="M77" s="1"/>
    </row>
    <row r="78" spans="1:13">
      <c r="A78">
        <v>77</v>
      </c>
      <c r="B78" s="3" t="str">
        <f t="shared" si="2"/>
        <v>SKU PROD C</v>
      </c>
      <c r="C78" s="4">
        <f t="shared" si="3"/>
        <v>46182</v>
      </c>
      <c r="D78" s="3">
        <f t="shared" si="4"/>
        <v>477</v>
      </c>
      <c r="E78">
        <f t="shared" si="5"/>
        <v>477</v>
      </c>
      <c r="F78">
        <f t="shared" si="6"/>
        <v>477</v>
      </c>
      <c r="M78" s="1"/>
    </row>
    <row r="79" spans="1:13">
      <c r="A79">
        <v>78</v>
      </c>
      <c r="B79" s="3" t="str">
        <f t="shared" si="2"/>
        <v>SKU PROD E</v>
      </c>
      <c r="C79" s="4">
        <f t="shared" si="3"/>
        <v>46185</v>
      </c>
      <c r="D79" s="3">
        <f t="shared" si="4"/>
        <v>382</v>
      </c>
      <c r="E79">
        <f t="shared" si="5"/>
        <v>382</v>
      </c>
      <c r="F79">
        <f t="shared" si="6"/>
        <v>382</v>
      </c>
      <c r="M79" s="1"/>
    </row>
    <row r="80" spans="1:13">
      <c r="A80">
        <v>79</v>
      </c>
      <c r="B80" s="3" t="str">
        <f t="shared" si="2"/>
        <v>SKU PROD B</v>
      </c>
      <c r="C80" s="4">
        <f t="shared" si="3"/>
        <v>46186</v>
      </c>
      <c r="D80" s="3">
        <f t="shared" si="4"/>
        <v>573</v>
      </c>
      <c r="E80">
        <f t="shared" si="5"/>
        <v>573</v>
      </c>
      <c r="F80">
        <f t="shared" si="6"/>
        <v>573</v>
      </c>
      <c r="M80" s="1"/>
    </row>
    <row r="81" spans="1:13">
      <c r="A81">
        <v>80</v>
      </c>
      <c r="B81" s="3" t="str">
        <f t="shared" ref="B81:B144" si="7">B67</f>
        <v>SKU PROD D</v>
      </c>
      <c r="C81" s="4">
        <f t="shared" ref="C81:C144" si="8">EDATE(C67,1)</f>
        <v>46190</v>
      </c>
      <c r="D81" s="3">
        <f t="shared" ref="D81:D144" si="9">ROUNDUP(D67*(1+
IF(MONTH(C81)=2,IF(DAY(C81)&lt;15,5%,7.5%),
IF(MONTH(C81)=3,IF(DAY(C81)&lt;20,-2%,1.5%),
IF(MONTH(C81)=4,IF(DAY(C81)&lt;17,2.5%,-5%),
IF(MONTH(C81)=5,IF(DAY(C81)&lt;22,-5%,5%),
IF(MONTH(C81)=6,-5%,
IF(MONTH(C81)=7,IF(DAY(C81)&lt;10,15%,-5%),
IF(MONTH(C81)=8,IF(DAY(C81)&lt;25,-15%,3%),
IF(MONTH(C81)=9,IF(DAY(C81)&lt;25,-15%,3%),
IF(MONTH(C81)=10,IF(DAY(C81)&lt;11,-10%,-5%),
IF(MONTH(C81)=11,IF(DAY(C81)&lt;13,12%,6%),
IF(MONTH(C81)=12,IF(DAY(C81)&lt;10,6%,12%),0)
))))))))))),0)</f>
        <v>815</v>
      </c>
      <c r="E81">
        <f t="shared" si="5"/>
        <v>815</v>
      </c>
      <c r="F81">
        <f t="shared" si="6"/>
        <v>815</v>
      </c>
      <c r="M81" s="1"/>
    </row>
    <row r="82" spans="1:13">
      <c r="A82">
        <v>81</v>
      </c>
      <c r="B82" s="3" t="str">
        <f t="shared" si="7"/>
        <v>SKU PROD C</v>
      </c>
      <c r="C82" s="4">
        <f t="shared" si="8"/>
        <v>46193</v>
      </c>
      <c r="D82" s="3">
        <f t="shared" si="9"/>
        <v>750</v>
      </c>
      <c r="E82">
        <f t="shared" si="5"/>
        <v>750</v>
      </c>
      <c r="F82">
        <f t="shared" si="6"/>
        <v>750</v>
      </c>
      <c r="M82" s="1"/>
    </row>
    <row r="83" spans="1:13">
      <c r="A83">
        <v>82</v>
      </c>
      <c r="B83" s="3" t="str">
        <f t="shared" si="7"/>
        <v>SKU PROD A</v>
      </c>
      <c r="C83" s="4">
        <f t="shared" si="8"/>
        <v>46197</v>
      </c>
      <c r="D83" s="3">
        <f t="shared" si="9"/>
        <v>1036</v>
      </c>
      <c r="E83">
        <f t="shared" si="5"/>
        <v>1036</v>
      </c>
      <c r="F83">
        <f t="shared" si="6"/>
        <v>1036</v>
      </c>
      <c r="M83" s="1"/>
    </row>
    <row r="84" spans="1:13">
      <c r="A84">
        <v>83</v>
      </c>
      <c r="B84" s="3" t="str">
        <f t="shared" si="7"/>
        <v>SKU PROD D</v>
      </c>
      <c r="C84" s="4">
        <f t="shared" si="8"/>
        <v>46201</v>
      </c>
      <c r="D84" s="3">
        <f t="shared" si="9"/>
        <v>3104</v>
      </c>
      <c r="E84">
        <f t="shared" si="5"/>
        <v>3104</v>
      </c>
      <c r="F84">
        <f t="shared" si="6"/>
        <v>3104</v>
      </c>
      <c r="M84" s="1"/>
    </row>
    <row r="85" spans="1:13">
      <c r="A85">
        <v>84</v>
      </c>
      <c r="B85" s="3" t="str">
        <f t="shared" si="7"/>
        <v>SKU PROD E</v>
      </c>
      <c r="C85" s="4">
        <f t="shared" si="8"/>
        <v>46201</v>
      </c>
      <c r="D85" s="3">
        <f t="shared" si="9"/>
        <v>2070</v>
      </c>
      <c r="E85">
        <f t="shared" si="5"/>
        <v>2070</v>
      </c>
      <c r="F85">
        <f t="shared" si="6"/>
        <v>2070</v>
      </c>
      <c r="M85" s="1"/>
    </row>
    <row r="86" spans="1:13">
      <c r="A86">
        <v>85</v>
      </c>
      <c r="B86" s="3" t="str">
        <f t="shared" si="7"/>
        <v>SKU PROD A</v>
      </c>
      <c r="C86" s="4">
        <f t="shared" si="8"/>
        <v>46206</v>
      </c>
      <c r="D86" s="3">
        <f t="shared" si="9"/>
        <v>1096</v>
      </c>
      <c r="E86">
        <f t="shared" si="5"/>
        <v>2632</v>
      </c>
      <c r="F86">
        <f t="shared" si="6"/>
        <v>2632</v>
      </c>
      <c r="M86" s="1"/>
    </row>
    <row r="87" spans="1:13">
      <c r="A87">
        <v>86</v>
      </c>
      <c r="B87" s="3" t="str">
        <f t="shared" si="7"/>
        <v>SKU PROD B</v>
      </c>
      <c r="C87" s="4">
        <f t="shared" si="8"/>
        <v>46206</v>
      </c>
      <c r="D87" s="3">
        <f t="shared" si="9"/>
        <v>6570</v>
      </c>
      <c r="E87">
        <f t="shared" si="5"/>
        <v>6570</v>
      </c>
      <c r="F87">
        <f t="shared" si="6"/>
        <v>6570</v>
      </c>
      <c r="M87" s="1"/>
    </row>
    <row r="88" spans="1:13">
      <c r="A88">
        <v>87</v>
      </c>
      <c r="B88" s="3" t="str">
        <f t="shared" si="7"/>
        <v>SKU PROD A</v>
      </c>
      <c r="C88" s="4">
        <f t="shared" si="8"/>
        <v>46207</v>
      </c>
      <c r="D88" s="3">
        <f t="shared" si="9"/>
        <v>440</v>
      </c>
      <c r="E88">
        <f t="shared" si="5"/>
        <v>1536</v>
      </c>
      <c r="F88">
        <f t="shared" si="6"/>
        <v>1536</v>
      </c>
      <c r="M88" s="1"/>
    </row>
    <row r="89" spans="1:13">
      <c r="A89">
        <v>88</v>
      </c>
      <c r="B89" s="3" t="str">
        <f t="shared" si="7"/>
        <v>SKU PROD C</v>
      </c>
      <c r="C89" s="4">
        <f t="shared" si="8"/>
        <v>46208</v>
      </c>
      <c r="D89" s="3">
        <f t="shared" si="9"/>
        <v>988</v>
      </c>
      <c r="E89">
        <f t="shared" si="5"/>
        <v>1537</v>
      </c>
      <c r="F89">
        <f t="shared" si="6"/>
        <v>1537</v>
      </c>
      <c r="M89" s="1"/>
    </row>
    <row r="90" spans="1:13">
      <c r="A90">
        <v>89</v>
      </c>
      <c r="B90" s="3" t="str">
        <f t="shared" si="7"/>
        <v>SKU PROD D</v>
      </c>
      <c r="C90" s="4">
        <f t="shared" si="8"/>
        <v>46209</v>
      </c>
      <c r="D90" s="3">
        <f t="shared" si="9"/>
        <v>659</v>
      </c>
      <c r="E90">
        <f t="shared" si="5"/>
        <v>659</v>
      </c>
      <c r="F90">
        <f t="shared" si="6"/>
        <v>659</v>
      </c>
      <c r="M90" s="1"/>
    </row>
    <row r="91" spans="1:13">
      <c r="A91">
        <v>90</v>
      </c>
      <c r="B91" s="3" t="str">
        <f t="shared" si="7"/>
        <v>SKU PROD A</v>
      </c>
      <c r="C91" s="4">
        <f t="shared" si="8"/>
        <v>46210</v>
      </c>
      <c r="D91" s="3">
        <f t="shared" si="9"/>
        <v>1096</v>
      </c>
      <c r="E91">
        <f t="shared" si="5"/>
        <v>1096</v>
      </c>
      <c r="F91">
        <f t="shared" si="6"/>
        <v>1096</v>
      </c>
      <c r="M91" s="1"/>
    </row>
    <row r="92" spans="1:13">
      <c r="A92">
        <v>91</v>
      </c>
      <c r="B92" s="3" t="str">
        <f t="shared" si="7"/>
        <v>SKU PROD C</v>
      </c>
      <c r="C92" s="4">
        <f t="shared" si="8"/>
        <v>46212</v>
      </c>
      <c r="D92" s="3">
        <f t="shared" si="9"/>
        <v>549</v>
      </c>
      <c r="E92">
        <f t="shared" si="5"/>
        <v>549</v>
      </c>
      <c r="F92">
        <f t="shared" si="6"/>
        <v>549</v>
      </c>
      <c r="M92" s="1"/>
    </row>
    <row r="93" spans="1:13">
      <c r="A93">
        <v>92</v>
      </c>
      <c r="B93" s="3" t="str">
        <f t="shared" si="7"/>
        <v>SKU PROD E</v>
      </c>
      <c r="C93" s="4">
        <f t="shared" si="8"/>
        <v>46215</v>
      </c>
      <c r="D93" s="3">
        <f t="shared" si="9"/>
        <v>363</v>
      </c>
      <c r="E93">
        <f t="shared" si="5"/>
        <v>363</v>
      </c>
      <c r="F93">
        <f t="shared" si="6"/>
        <v>363</v>
      </c>
      <c r="M93" s="1"/>
    </row>
    <row r="94" spans="1:13">
      <c r="A94">
        <v>93</v>
      </c>
      <c r="B94" s="3" t="str">
        <f t="shared" si="7"/>
        <v>SKU PROD B</v>
      </c>
      <c r="C94" s="4">
        <f t="shared" si="8"/>
        <v>46216</v>
      </c>
      <c r="D94" s="3">
        <f t="shared" si="9"/>
        <v>545</v>
      </c>
      <c r="E94">
        <f t="shared" si="5"/>
        <v>545</v>
      </c>
      <c r="F94">
        <f t="shared" si="6"/>
        <v>545</v>
      </c>
      <c r="M94" s="1"/>
    </row>
    <row r="95" spans="1:13">
      <c r="A95">
        <v>94</v>
      </c>
      <c r="B95" s="3" t="str">
        <f t="shared" si="7"/>
        <v>SKU PROD D</v>
      </c>
      <c r="C95" s="4">
        <f t="shared" si="8"/>
        <v>46220</v>
      </c>
      <c r="D95" s="3">
        <f t="shared" si="9"/>
        <v>775</v>
      </c>
      <c r="E95">
        <f t="shared" si="5"/>
        <v>775</v>
      </c>
      <c r="F95">
        <f t="shared" si="6"/>
        <v>775</v>
      </c>
      <c r="M95" s="1"/>
    </row>
    <row r="96" spans="1:13">
      <c r="A96">
        <v>95</v>
      </c>
      <c r="B96" s="3" t="str">
        <f t="shared" si="7"/>
        <v>SKU PROD C</v>
      </c>
      <c r="C96" s="4">
        <f t="shared" si="8"/>
        <v>46223</v>
      </c>
      <c r="D96" s="3">
        <f t="shared" si="9"/>
        <v>713</v>
      </c>
      <c r="E96">
        <f t="shared" si="5"/>
        <v>713</v>
      </c>
      <c r="F96">
        <f t="shared" si="6"/>
        <v>713</v>
      </c>
      <c r="M96" s="1"/>
    </row>
    <row r="97" spans="1:13">
      <c r="A97">
        <v>96</v>
      </c>
      <c r="B97" s="3" t="str">
        <f t="shared" si="7"/>
        <v>SKU PROD A</v>
      </c>
      <c r="C97" s="4">
        <f t="shared" si="8"/>
        <v>46227</v>
      </c>
      <c r="D97" s="3">
        <f t="shared" si="9"/>
        <v>985</v>
      </c>
      <c r="E97">
        <f t="shared" si="5"/>
        <v>985</v>
      </c>
      <c r="F97">
        <f t="shared" si="6"/>
        <v>985</v>
      </c>
      <c r="M97" s="1"/>
    </row>
    <row r="98" spans="1:13">
      <c r="A98">
        <v>97</v>
      </c>
      <c r="B98" s="3" t="str">
        <f t="shared" si="7"/>
        <v>SKU PROD D</v>
      </c>
      <c r="C98" s="4">
        <f t="shared" si="8"/>
        <v>46231</v>
      </c>
      <c r="D98" s="3">
        <f t="shared" si="9"/>
        <v>2949</v>
      </c>
      <c r="E98">
        <f t="shared" si="5"/>
        <v>2949</v>
      </c>
      <c r="F98">
        <f t="shared" si="6"/>
        <v>2949</v>
      </c>
      <c r="M98" s="1"/>
    </row>
    <row r="99" spans="1:13">
      <c r="A99">
        <v>98</v>
      </c>
      <c r="B99" s="3" t="str">
        <f t="shared" si="7"/>
        <v>SKU PROD E</v>
      </c>
      <c r="C99" s="4">
        <f t="shared" si="8"/>
        <v>46231</v>
      </c>
      <c r="D99" s="3">
        <f t="shared" si="9"/>
        <v>1967</v>
      </c>
      <c r="E99">
        <f t="shared" si="5"/>
        <v>1967</v>
      </c>
      <c r="F99">
        <f t="shared" si="6"/>
        <v>1967</v>
      </c>
      <c r="M99" s="1"/>
    </row>
    <row r="100" spans="1:13">
      <c r="A100">
        <v>99</v>
      </c>
      <c r="B100" s="3" t="str">
        <f t="shared" si="7"/>
        <v>SKU PROD A</v>
      </c>
      <c r="C100" s="4">
        <f t="shared" si="8"/>
        <v>46237</v>
      </c>
      <c r="D100" s="3">
        <f t="shared" si="9"/>
        <v>932</v>
      </c>
      <c r="E100">
        <f t="shared" si="5"/>
        <v>2238</v>
      </c>
      <c r="F100">
        <f t="shared" si="6"/>
        <v>2238</v>
      </c>
      <c r="M100" s="1"/>
    </row>
    <row r="101" spans="1:13">
      <c r="A101">
        <v>100</v>
      </c>
      <c r="B101" s="3" t="str">
        <f t="shared" si="7"/>
        <v>SKU PROD B</v>
      </c>
      <c r="C101" s="4">
        <f t="shared" si="8"/>
        <v>46237</v>
      </c>
      <c r="D101" s="3">
        <f t="shared" si="9"/>
        <v>5585</v>
      </c>
      <c r="E101">
        <f t="shared" si="5"/>
        <v>5585</v>
      </c>
      <c r="F101">
        <f t="shared" si="6"/>
        <v>5585</v>
      </c>
      <c r="M101" s="1"/>
    </row>
    <row r="102" spans="1:13">
      <c r="A102">
        <v>101</v>
      </c>
      <c r="B102" s="3" t="str">
        <f t="shared" si="7"/>
        <v>SKU PROD A</v>
      </c>
      <c r="C102" s="4">
        <f t="shared" si="8"/>
        <v>46238</v>
      </c>
      <c r="D102" s="3">
        <f t="shared" si="9"/>
        <v>374</v>
      </c>
      <c r="E102">
        <f t="shared" si="5"/>
        <v>1306</v>
      </c>
      <c r="F102">
        <f t="shared" si="6"/>
        <v>1306</v>
      </c>
      <c r="M102" s="1"/>
    </row>
    <row r="103" spans="1:13">
      <c r="A103">
        <v>102</v>
      </c>
      <c r="B103" s="3" t="str">
        <f t="shared" si="7"/>
        <v>SKU PROD C</v>
      </c>
      <c r="C103" s="4">
        <f t="shared" si="8"/>
        <v>46239</v>
      </c>
      <c r="D103" s="3">
        <f t="shared" si="9"/>
        <v>840</v>
      </c>
      <c r="E103">
        <f t="shared" si="5"/>
        <v>1307</v>
      </c>
      <c r="F103">
        <f t="shared" si="6"/>
        <v>1307</v>
      </c>
      <c r="M103" s="1"/>
    </row>
    <row r="104" spans="1:13">
      <c r="A104">
        <v>103</v>
      </c>
      <c r="B104" s="3" t="str">
        <f t="shared" si="7"/>
        <v>SKU PROD D</v>
      </c>
      <c r="C104" s="4">
        <f t="shared" si="8"/>
        <v>46240</v>
      </c>
      <c r="D104" s="3">
        <f t="shared" si="9"/>
        <v>561</v>
      </c>
      <c r="E104">
        <f t="shared" si="5"/>
        <v>561</v>
      </c>
      <c r="F104">
        <f t="shared" si="6"/>
        <v>561</v>
      </c>
      <c r="M104" s="1"/>
    </row>
    <row r="105" spans="1:13">
      <c r="A105">
        <v>104</v>
      </c>
      <c r="B105" s="3" t="str">
        <f t="shared" si="7"/>
        <v>SKU PROD A</v>
      </c>
      <c r="C105" s="4">
        <f t="shared" si="8"/>
        <v>46241</v>
      </c>
      <c r="D105" s="3">
        <f t="shared" si="9"/>
        <v>932</v>
      </c>
      <c r="E105">
        <f t="shared" si="5"/>
        <v>932</v>
      </c>
      <c r="F105">
        <f t="shared" si="6"/>
        <v>932</v>
      </c>
      <c r="M105" s="1"/>
    </row>
    <row r="106" spans="1:13">
      <c r="A106">
        <v>105</v>
      </c>
      <c r="B106" s="3" t="str">
        <f t="shared" si="7"/>
        <v>SKU PROD C</v>
      </c>
      <c r="C106" s="4">
        <f t="shared" si="8"/>
        <v>46243</v>
      </c>
      <c r="D106" s="3">
        <f t="shared" si="9"/>
        <v>467</v>
      </c>
      <c r="E106">
        <f t="shared" si="5"/>
        <v>467</v>
      </c>
      <c r="F106">
        <f t="shared" si="6"/>
        <v>467</v>
      </c>
      <c r="M106" s="1"/>
    </row>
    <row r="107" spans="1:13">
      <c r="A107">
        <v>106</v>
      </c>
      <c r="B107" s="3" t="str">
        <f t="shared" si="7"/>
        <v>SKU PROD E</v>
      </c>
      <c r="C107" s="4">
        <f t="shared" si="8"/>
        <v>46246</v>
      </c>
      <c r="D107" s="3">
        <f t="shared" si="9"/>
        <v>309</v>
      </c>
      <c r="E107">
        <f t="shared" si="5"/>
        <v>309</v>
      </c>
      <c r="F107">
        <f t="shared" si="6"/>
        <v>309</v>
      </c>
      <c r="M107" s="1"/>
    </row>
    <row r="108" spans="1:13">
      <c r="A108">
        <v>107</v>
      </c>
      <c r="B108" s="3" t="str">
        <f t="shared" si="7"/>
        <v>SKU PROD B</v>
      </c>
      <c r="C108" s="4">
        <f t="shared" si="8"/>
        <v>46247</v>
      </c>
      <c r="D108" s="3">
        <f t="shared" si="9"/>
        <v>464</v>
      </c>
      <c r="E108">
        <f t="shared" si="5"/>
        <v>464</v>
      </c>
      <c r="F108">
        <f t="shared" si="6"/>
        <v>464</v>
      </c>
      <c r="M108" s="1"/>
    </row>
    <row r="109" spans="1:13">
      <c r="A109">
        <v>108</v>
      </c>
      <c r="B109" s="3" t="str">
        <f t="shared" si="7"/>
        <v>SKU PROD D</v>
      </c>
      <c r="C109" s="4">
        <f t="shared" si="8"/>
        <v>46251</v>
      </c>
      <c r="D109" s="3">
        <f t="shared" si="9"/>
        <v>659</v>
      </c>
      <c r="E109">
        <f t="shared" si="5"/>
        <v>659</v>
      </c>
      <c r="F109">
        <f t="shared" si="6"/>
        <v>659</v>
      </c>
      <c r="M109" s="1"/>
    </row>
    <row r="110" spans="1:13">
      <c r="A110">
        <v>109</v>
      </c>
      <c r="B110" s="3" t="str">
        <f t="shared" si="7"/>
        <v>SKU PROD C</v>
      </c>
      <c r="C110" s="4">
        <f t="shared" si="8"/>
        <v>46254</v>
      </c>
      <c r="D110" s="3">
        <f t="shared" si="9"/>
        <v>607</v>
      </c>
      <c r="E110">
        <f t="shared" si="5"/>
        <v>607</v>
      </c>
      <c r="F110">
        <f t="shared" si="6"/>
        <v>607</v>
      </c>
      <c r="M110" s="1"/>
    </row>
    <row r="111" spans="1:13">
      <c r="A111">
        <v>110</v>
      </c>
      <c r="B111" s="3" t="str">
        <f t="shared" si="7"/>
        <v>SKU PROD A</v>
      </c>
      <c r="C111" s="4">
        <f t="shared" si="8"/>
        <v>46258</v>
      </c>
      <c r="D111" s="3">
        <f t="shared" si="9"/>
        <v>838</v>
      </c>
      <c r="E111">
        <f t="shared" si="5"/>
        <v>838</v>
      </c>
      <c r="F111">
        <f t="shared" si="6"/>
        <v>838</v>
      </c>
      <c r="M111" s="1"/>
    </row>
    <row r="112" spans="1:13">
      <c r="A112">
        <v>111</v>
      </c>
      <c r="B112" s="3" t="str">
        <f t="shared" si="7"/>
        <v>SKU PROD D</v>
      </c>
      <c r="C112" s="4">
        <f t="shared" si="8"/>
        <v>46262</v>
      </c>
      <c r="D112" s="3">
        <f t="shared" si="9"/>
        <v>3038</v>
      </c>
      <c r="E112">
        <f t="shared" si="5"/>
        <v>3038</v>
      </c>
      <c r="F112">
        <f t="shared" si="6"/>
        <v>3038</v>
      </c>
      <c r="M112" s="1"/>
    </row>
    <row r="113" spans="1:13">
      <c r="A113">
        <v>112</v>
      </c>
      <c r="B113" s="3" t="str">
        <f t="shared" si="7"/>
        <v>SKU PROD E</v>
      </c>
      <c r="C113" s="4">
        <f t="shared" si="8"/>
        <v>46262</v>
      </c>
      <c r="D113" s="3">
        <f t="shared" si="9"/>
        <v>2027</v>
      </c>
      <c r="E113">
        <f t="shared" si="5"/>
        <v>2027</v>
      </c>
      <c r="F113">
        <f t="shared" si="6"/>
        <v>2027</v>
      </c>
      <c r="M113" s="1"/>
    </row>
    <row r="114" spans="1:13">
      <c r="A114">
        <v>113</v>
      </c>
      <c r="B114" s="3" t="str">
        <f t="shared" si="7"/>
        <v>SKU PROD A</v>
      </c>
      <c r="C114" s="4">
        <f t="shared" si="8"/>
        <v>46268</v>
      </c>
      <c r="D114" s="3">
        <f t="shared" si="9"/>
        <v>793</v>
      </c>
      <c r="E114">
        <f t="shared" si="5"/>
        <v>1904</v>
      </c>
      <c r="F114">
        <f t="shared" si="6"/>
        <v>1904</v>
      </c>
      <c r="M114" s="1"/>
    </row>
    <row r="115" spans="1:13">
      <c r="A115">
        <v>114</v>
      </c>
      <c r="B115" s="3" t="str">
        <f t="shared" si="7"/>
        <v>SKU PROD B</v>
      </c>
      <c r="C115" s="4">
        <f t="shared" si="8"/>
        <v>46268</v>
      </c>
      <c r="D115" s="3">
        <f t="shared" si="9"/>
        <v>4748</v>
      </c>
      <c r="E115">
        <f t="shared" si="5"/>
        <v>4748</v>
      </c>
      <c r="F115">
        <f t="shared" si="6"/>
        <v>4748</v>
      </c>
      <c r="M115" s="1"/>
    </row>
    <row r="116" spans="1:13">
      <c r="A116">
        <v>115</v>
      </c>
      <c r="B116" s="3" t="str">
        <f t="shared" si="7"/>
        <v>SKU PROD A</v>
      </c>
      <c r="C116" s="4">
        <f t="shared" si="8"/>
        <v>46269</v>
      </c>
      <c r="D116" s="3">
        <f t="shared" si="9"/>
        <v>318</v>
      </c>
      <c r="E116">
        <f t="shared" si="5"/>
        <v>1111</v>
      </c>
      <c r="F116">
        <f t="shared" si="6"/>
        <v>1111</v>
      </c>
      <c r="M116" s="1"/>
    </row>
    <row r="117" spans="1:13">
      <c r="A117">
        <v>116</v>
      </c>
      <c r="B117" s="3" t="str">
        <f t="shared" si="7"/>
        <v>SKU PROD C</v>
      </c>
      <c r="C117" s="4">
        <f t="shared" si="8"/>
        <v>46270</v>
      </c>
      <c r="D117" s="3">
        <f t="shared" si="9"/>
        <v>714</v>
      </c>
      <c r="E117">
        <f t="shared" si="5"/>
        <v>1111</v>
      </c>
      <c r="F117">
        <f t="shared" si="6"/>
        <v>1111</v>
      </c>
      <c r="M117" s="1"/>
    </row>
    <row r="118" spans="1:13">
      <c r="A118">
        <v>117</v>
      </c>
      <c r="B118" s="3" t="str">
        <f t="shared" si="7"/>
        <v>SKU PROD D</v>
      </c>
      <c r="C118" s="4">
        <f t="shared" si="8"/>
        <v>46271</v>
      </c>
      <c r="D118" s="3">
        <f t="shared" si="9"/>
        <v>477</v>
      </c>
      <c r="E118">
        <f t="shared" si="5"/>
        <v>477</v>
      </c>
      <c r="F118">
        <f t="shared" si="6"/>
        <v>477</v>
      </c>
      <c r="M118" s="1"/>
    </row>
    <row r="119" spans="1:13">
      <c r="A119">
        <v>118</v>
      </c>
      <c r="B119" s="3" t="str">
        <f t="shared" si="7"/>
        <v>SKU PROD A</v>
      </c>
      <c r="C119" s="4">
        <f t="shared" si="8"/>
        <v>46272</v>
      </c>
      <c r="D119" s="3">
        <f t="shared" si="9"/>
        <v>793</v>
      </c>
      <c r="E119">
        <f t="shared" si="5"/>
        <v>793</v>
      </c>
      <c r="F119">
        <f t="shared" si="6"/>
        <v>793</v>
      </c>
      <c r="M119" s="1"/>
    </row>
    <row r="120" spans="1:13">
      <c r="A120">
        <v>119</v>
      </c>
      <c r="B120" s="3" t="str">
        <f t="shared" si="7"/>
        <v>SKU PROD C</v>
      </c>
      <c r="C120" s="4">
        <f t="shared" si="8"/>
        <v>46274</v>
      </c>
      <c r="D120" s="3">
        <f t="shared" si="9"/>
        <v>397</v>
      </c>
      <c r="E120">
        <f t="shared" si="5"/>
        <v>397</v>
      </c>
      <c r="F120">
        <f t="shared" si="6"/>
        <v>397</v>
      </c>
      <c r="M120" s="1"/>
    </row>
    <row r="121" spans="1:13">
      <c r="A121">
        <v>120</v>
      </c>
      <c r="B121" s="3" t="str">
        <f t="shared" si="7"/>
        <v>SKU PROD E</v>
      </c>
      <c r="C121" s="4">
        <f t="shared" si="8"/>
        <v>46277</v>
      </c>
      <c r="D121" s="3">
        <f t="shared" si="9"/>
        <v>263</v>
      </c>
      <c r="E121">
        <f t="shared" si="5"/>
        <v>263</v>
      </c>
      <c r="F121">
        <f t="shared" si="6"/>
        <v>263</v>
      </c>
      <c r="M121" s="1"/>
    </row>
    <row r="122" spans="1:13">
      <c r="A122">
        <v>121</v>
      </c>
      <c r="B122" s="3" t="str">
        <f t="shared" si="7"/>
        <v>SKU PROD B</v>
      </c>
      <c r="C122" s="4">
        <f t="shared" si="8"/>
        <v>46278</v>
      </c>
      <c r="D122" s="3">
        <f t="shared" si="9"/>
        <v>395</v>
      </c>
      <c r="E122">
        <f t="shared" si="5"/>
        <v>395</v>
      </c>
      <c r="F122">
        <f t="shared" si="6"/>
        <v>395</v>
      </c>
      <c r="M122" s="1"/>
    </row>
    <row r="123" spans="1:13">
      <c r="A123">
        <v>122</v>
      </c>
      <c r="B123" s="3" t="str">
        <f t="shared" si="7"/>
        <v>SKU PROD D</v>
      </c>
      <c r="C123" s="4">
        <f t="shared" si="8"/>
        <v>46282</v>
      </c>
      <c r="D123" s="3">
        <f t="shared" si="9"/>
        <v>561</v>
      </c>
      <c r="E123">
        <f t="shared" si="5"/>
        <v>561</v>
      </c>
      <c r="F123">
        <f t="shared" si="6"/>
        <v>561</v>
      </c>
      <c r="M123" s="1"/>
    </row>
    <row r="124" spans="1:13">
      <c r="A124">
        <v>123</v>
      </c>
      <c r="B124" s="3" t="str">
        <f t="shared" si="7"/>
        <v>SKU PROD C</v>
      </c>
      <c r="C124" s="4">
        <f t="shared" si="8"/>
        <v>46285</v>
      </c>
      <c r="D124" s="3">
        <f t="shared" si="9"/>
        <v>516</v>
      </c>
      <c r="E124">
        <f t="shared" si="5"/>
        <v>516</v>
      </c>
      <c r="F124">
        <f t="shared" si="6"/>
        <v>516</v>
      </c>
      <c r="M124" s="1"/>
    </row>
    <row r="125" spans="1:13">
      <c r="A125">
        <v>124</v>
      </c>
      <c r="B125" s="3" t="str">
        <f t="shared" si="7"/>
        <v>SKU PROD A</v>
      </c>
      <c r="C125" s="4">
        <f t="shared" si="8"/>
        <v>46289</v>
      </c>
      <c r="D125" s="3">
        <f t="shared" si="9"/>
        <v>713</v>
      </c>
      <c r="E125">
        <f t="shared" si="5"/>
        <v>713</v>
      </c>
      <c r="F125">
        <f t="shared" si="6"/>
        <v>713</v>
      </c>
      <c r="M125" s="1"/>
    </row>
    <row r="126" spans="1:13">
      <c r="A126">
        <v>125</v>
      </c>
      <c r="B126" s="3" t="str">
        <f t="shared" si="7"/>
        <v>SKU PROD D</v>
      </c>
      <c r="C126" s="4">
        <f t="shared" si="8"/>
        <v>46293</v>
      </c>
      <c r="D126" s="3">
        <f t="shared" si="9"/>
        <v>3130</v>
      </c>
      <c r="E126">
        <f t="shared" si="5"/>
        <v>3130</v>
      </c>
      <c r="F126">
        <f t="shared" si="6"/>
        <v>3130</v>
      </c>
      <c r="M126" s="1"/>
    </row>
    <row r="127" spans="1:13">
      <c r="A127">
        <v>126</v>
      </c>
      <c r="B127" s="3" t="str">
        <f t="shared" si="7"/>
        <v>SKU PROD E</v>
      </c>
      <c r="C127" s="4">
        <f t="shared" si="8"/>
        <v>46293</v>
      </c>
      <c r="D127" s="3">
        <f t="shared" si="9"/>
        <v>2088</v>
      </c>
      <c r="E127">
        <f t="shared" si="5"/>
        <v>2088</v>
      </c>
      <c r="F127">
        <f t="shared" si="6"/>
        <v>2088</v>
      </c>
      <c r="M127" s="1"/>
    </row>
    <row r="128" spans="1:13">
      <c r="A128">
        <v>127</v>
      </c>
      <c r="B128" s="3" t="str">
        <f t="shared" si="7"/>
        <v>SKU PROD A</v>
      </c>
      <c r="C128" s="4">
        <f t="shared" si="8"/>
        <v>46298</v>
      </c>
      <c r="D128" s="3">
        <f t="shared" si="9"/>
        <v>714</v>
      </c>
      <c r="E128">
        <f t="shared" si="5"/>
        <v>1715</v>
      </c>
      <c r="F128">
        <f t="shared" si="6"/>
        <v>1715</v>
      </c>
      <c r="M128" s="1"/>
    </row>
    <row r="129" spans="1:13">
      <c r="A129">
        <v>128</v>
      </c>
      <c r="B129" s="3" t="str">
        <f t="shared" si="7"/>
        <v>SKU PROD B</v>
      </c>
      <c r="C129" s="4">
        <f t="shared" si="8"/>
        <v>46298</v>
      </c>
      <c r="D129" s="3">
        <f t="shared" si="9"/>
        <v>4274</v>
      </c>
      <c r="E129">
        <f t="shared" si="5"/>
        <v>4274</v>
      </c>
      <c r="F129">
        <f t="shared" si="6"/>
        <v>4274</v>
      </c>
      <c r="M129" s="1"/>
    </row>
    <row r="130" spans="1:13">
      <c r="A130">
        <v>129</v>
      </c>
      <c r="B130" s="3" t="str">
        <f t="shared" si="7"/>
        <v>SKU PROD A</v>
      </c>
      <c r="C130" s="4">
        <f t="shared" si="8"/>
        <v>46299</v>
      </c>
      <c r="D130" s="3">
        <f t="shared" si="9"/>
        <v>287</v>
      </c>
      <c r="E130">
        <f t="shared" si="5"/>
        <v>1001</v>
      </c>
      <c r="F130">
        <f t="shared" si="6"/>
        <v>1001</v>
      </c>
      <c r="M130" s="1"/>
    </row>
    <row r="131" spans="1:13">
      <c r="A131">
        <v>130</v>
      </c>
      <c r="B131" s="3" t="str">
        <f t="shared" si="7"/>
        <v>SKU PROD C</v>
      </c>
      <c r="C131" s="4">
        <f t="shared" si="8"/>
        <v>46300</v>
      </c>
      <c r="D131" s="3">
        <f t="shared" si="9"/>
        <v>643</v>
      </c>
      <c r="E131">
        <f t="shared" ref="E131:E169" si="10">SUMIFS($D$2:$D$169,$B$2:$B$169,B131,$C$2:$C$169,"&gt;="&amp;C131,$C$2:$C$169,"&lt;="&amp;C131+5)</f>
        <v>1001</v>
      </c>
      <c r="F131">
        <f t="shared" ref="F131:F169" si="11">IF(C131&lt;=DATE(2026,12,26),E131,"")</f>
        <v>1001</v>
      </c>
      <c r="M131" s="1"/>
    </row>
    <row r="132" spans="1:13">
      <c r="A132">
        <v>131</v>
      </c>
      <c r="B132" s="3" t="str">
        <f t="shared" si="7"/>
        <v>SKU PROD D</v>
      </c>
      <c r="C132" s="4">
        <f t="shared" si="8"/>
        <v>46301</v>
      </c>
      <c r="D132" s="3">
        <f t="shared" si="9"/>
        <v>430</v>
      </c>
      <c r="E132">
        <f t="shared" si="10"/>
        <v>430</v>
      </c>
      <c r="F132">
        <f t="shared" si="11"/>
        <v>430</v>
      </c>
      <c r="M132" s="1"/>
    </row>
    <row r="133" spans="1:13">
      <c r="A133">
        <v>132</v>
      </c>
      <c r="B133" s="3" t="str">
        <f t="shared" si="7"/>
        <v>SKU PROD A</v>
      </c>
      <c r="C133" s="4">
        <f t="shared" si="8"/>
        <v>46302</v>
      </c>
      <c r="D133" s="3">
        <f t="shared" si="9"/>
        <v>714</v>
      </c>
      <c r="E133">
        <f t="shared" si="10"/>
        <v>714</v>
      </c>
      <c r="F133">
        <f t="shared" si="11"/>
        <v>714</v>
      </c>
      <c r="M133" s="1"/>
    </row>
    <row r="134" spans="1:13">
      <c r="A134">
        <v>133</v>
      </c>
      <c r="B134" s="3" t="str">
        <f t="shared" si="7"/>
        <v>SKU PROD C</v>
      </c>
      <c r="C134" s="4">
        <f t="shared" si="8"/>
        <v>46304</v>
      </c>
      <c r="D134" s="3">
        <f t="shared" si="9"/>
        <v>358</v>
      </c>
      <c r="E134">
        <f t="shared" si="10"/>
        <v>358</v>
      </c>
      <c r="F134">
        <f t="shared" si="11"/>
        <v>358</v>
      </c>
      <c r="M134" s="1"/>
    </row>
    <row r="135" spans="1:13">
      <c r="A135">
        <v>134</v>
      </c>
      <c r="B135" s="3" t="str">
        <f t="shared" si="7"/>
        <v>SKU PROD E</v>
      </c>
      <c r="C135" s="4">
        <f t="shared" si="8"/>
        <v>46307</v>
      </c>
      <c r="D135" s="3">
        <f t="shared" si="9"/>
        <v>250</v>
      </c>
      <c r="E135">
        <f t="shared" si="10"/>
        <v>250</v>
      </c>
      <c r="F135">
        <f t="shared" si="11"/>
        <v>250</v>
      </c>
      <c r="M135" s="1"/>
    </row>
    <row r="136" spans="1:13">
      <c r="A136">
        <v>135</v>
      </c>
      <c r="B136" s="3" t="str">
        <f t="shared" si="7"/>
        <v>SKU PROD B</v>
      </c>
      <c r="C136" s="4">
        <f t="shared" si="8"/>
        <v>46308</v>
      </c>
      <c r="D136" s="3">
        <f t="shared" si="9"/>
        <v>376</v>
      </c>
      <c r="E136">
        <f t="shared" si="10"/>
        <v>376</v>
      </c>
      <c r="F136">
        <f t="shared" si="11"/>
        <v>376</v>
      </c>
      <c r="M136" s="1"/>
    </row>
    <row r="137" spans="1:13">
      <c r="A137">
        <v>136</v>
      </c>
      <c r="B137" s="3" t="str">
        <f t="shared" si="7"/>
        <v>SKU PROD D</v>
      </c>
      <c r="C137" s="4">
        <f t="shared" si="8"/>
        <v>46312</v>
      </c>
      <c r="D137" s="3">
        <f t="shared" si="9"/>
        <v>533</v>
      </c>
      <c r="E137">
        <f t="shared" si="10"/>
        <v>533</v>
      </c>
      <c r="F137">
        <f t="shared" si="11"/>
        <v>533</v>
      </c>
      <c r="M137" s="1"/>
    </row>
    <row r="138" spans="1:13">
      <c r="A138">
        <v>137</v>
      </c>
      <c r="B138" s="3" t="str">
        <f t="shared" si="7"/>
        <v>SKU PROD C</v>
      </c>
      <c r="C138" s="4">
        <f t="shared" si="8"/>
        <v>46315</v>
      </c>
      <c r="D138" s="3">
        <f t="shared" si="9"/>
        <v>491</v>
      </c>
      <c r="E138">
        <f t="shared" si="10"/>
        <v>491</v>
      </c>
      <c r="F138">
        <f t="shared" si="11"/>
        <v>491</v>
      </c>
      <c r="M138" s="1"/>
    </row>
    <row r="139" spans="1:13">
      <c r="A139">
        <v>138</v>
      </c>
      <c r="B139" s="3" t="str">
        <f t="shared" si="7"/>
        <v>SKU PROD A</v>
      </c>
      <c r="C139" s="4">
        <f t="shared" si="8"/>
        <v>46319</v>
      </c>
      <c r="D139" s="3">
        <f t="shared" si="9"/>
        <v>678</v>
      </c>
      <c r="E139">
        <f t="shared" si="10"/>
        <v>678</v>
      </c>
      <c r="F139">
        <f t="shared" si="11"/>
        <v>678</v>
      </c>
      <c r="M139" s="1"/>
    </row>
    <row r="140" spans="1:13">
      <c r="A140">
        <v>139</v>
      </c>
      <c r="B140" s="3" t="str">
        <f t="shared" si="7"/>
        <v>SKU PROD D</v>
      </c>
      <c r="C140" s="4">
        <f t="shared" si="8"/>
        <v>46323</v>
      </c>
      <c r="D140" s="3">
        <f t="shared" si="9"/>
        <v>2974</v>
      </c>
      <c r="E140">
        <f t="shared" si="10"/>
        <v>2974</v>
      </c>
      <c r="F140">
        <f t="shared" si="11"/>
        <v>2974</v>
      </c>
      <c r="M140" s="1"/>
    </row>
    <row r="141" spans="1:13">
      <c r="A141">
        <v>140</v>
      </c>
      <c r="B141" s="3" t="str">
        <f t="shared" si="7"/>
        <v>SKU PROD E</v>
      </c>
      <c r="C141" s="4">
        <f t="shared" si="8"/>
        <v>46323</v>
      </c>
      <c r="D141" s="3">
        <f t="shared" si="9"/>
        <v>1984</v>
      </c>
      <c r="E141">
        <f t="shared" si="10"/>
        <v>1984</v>
      </c>
      <c r="F141">
        <f t="shared" si="11"/>
        <v>1984</v>
      </c>
      <c r="M141" s="1"/>
    </row>
    <row r="142" spans="1:13">
      <c r="A142">
        <v>141</v>
      </c>
      <c r="B142" s="3" t="str">
        <f t="shared" si="7"/>
        <v>SKU PROD A</v>
      </c>
      <c r="C142" s="4">
        <f t="shared" si="8"/>
        <v>46329</v>
      </c>
      <c r="D142" s="3">
        <f t="shared" si="9"/>
        <v>800</v>
      </c>
      <c r="E142">
        <f t="shared" si="10"/>
        <v>1922</v>
      </c>
      <c r="F142">
        <f t="shared" si="11"/>
        <v>1922</v>
      </c>
      <c r="M142" s="1"/>
    </row>
    <row r="143" spans="1:13">
      <c r="A143">
        <v>142</v>
      </c>
      <c r="B143" s="3" t="str">
        <f t="shared" si="7"/>
        <v>SKU PROD B</v>
      </c>
      <c r="C143" s="4">
        <f t="shared" si="8"/>
        <v>46329</v>
      </c>
      <c r="D143" s="3">
        <f t="shared" si="9"/>
        <v>4787</v>
      </c>
      <c r="E143">
        <f t="shared" si="10"/>
        <v>4787</v>
      </c>
      <c r="F143">
        <f t="shared" si="11"/>
        <v>4787</v>
      </c>
      <c r="M143" s="1"/>
    </row>
    <row r="144" spans="1:13">
      <c r="A144">
        <v>143</v>
      </c>
      <c r="B144" s="3" t="str">
        <f t="shared" si="7"/>
        <v>SKU PROD A</v>
      </c>
      <c r="C144" s="4">
        <f t="shared" si="8"/>
        <v>46330</v>
      </c>
      <c r="D144" s="3">
        <f t="shared" si="9"/>
        <v>322</v>
      </c>
      <c r="E144">
        <f t="shared" si="10"/>
        <v>1122</v>
      </c>
      <c r="F144">
        <f t="shared" si="11"/>
        <v>1122</v>
      </c>
      <c r="M144" s="1"/>
    </row>
    <row r="145" spans="1:13">
      <c r="A145">
        <v>144</v>
      </c>
      <c r="B145" s="3" t="str">
        <f t="shared" ref="B145:B169" si="12">B131</f>
        <v>SKU PROD C</v>
      </c>
      <c r="C145" s="4">
        <f t="shared" ref="C145:C169" si="13">EDATE(C131,1)</f>
        <v>46331</v>
      </c>
      <c r="D145" s="3">
        <f t="shared" ref="D145:D169" si="14">ROUNDUP(D131*(1+
IF(MONTH(C145)=2,IF(DAY(C145)&lt;15,5%,7.5%),
IF(MONTH(C145)=3,IF(DAY(C145)&lt;20,-2%,1.5%),
IF(MONTH(C145)=4,IF(DAY(C145)&lt;17,2.5%,-5%),
IF(MONTH(C145)=5,IF(DAY(C145)&lt;22,-5%,5%),
IF(MONTH(C145)=6,-5%,
IF(MONTH(C145)=7,IF(DAY(C145)&lt;10,15%,-5%),
IF(MONTH(C145)=8,IF(DAY(C145)&lt;25,-15%,3%),
IF(MONTH(C145)=9,IF(DAY(C145)&lt;25,-15%,3%),
IF(MONTH(C145)=10,IF(DAY(C145)&lt;11,-10%,-5%),
IF(MONTH(C145)=11,IF(DAY(C145)&lt;13,12%,6%),
IF(MONTH(C145)=12,IF(DAY(C145)&lt;10,6%,12%),0)
))))))))))),0)</f>
        <v>721</v>
      </c>
      <c r="E145">
        <f t="shared" si="10"/>
        <v>1122</v>
      </c>
      <c r="F145">
        <f t="shared" si="11"/>
        <v>1122</v>
      </c>
      <c r="M145" s="1"/>
    </row>
    <row r="146" spans="1:13">
      <c r="A146">
        <v>145</v>
      </c>
      <c r="B146" s="3" t="str">
        <f t="shared" si="12"/>
        <v>SKU PROD D</v>
      </c>
      <c r="C146" s="4">
        <f t="shared" si="13"/>
        <v>46332</v>
      </c>
      <c r="D146" s="3">
        <f t="shared" si="14"/>
        <v>482</v>
      </c>
      <c r="E146">
        <f t="shared" si="10"/>
        <v>482</v>
      </c>
      <c r="F146">
        <f t="shared" si="11"/>
        <v>482</v>
      </c>
      <c r="M146" s="1"/>
    </row>
    <row r="147" spans="1:13">
      <c r="A147">
        <v>146</v>
      </c>
      <c r="B147" s="3" t="str">
        <f t="shared" si="12"/>
        <v>SKU PROD A</v>
      </c>
      <c r="C147" s="4">
        <f t="shared" si="13"/>
        <v>46333</v>
      </c>
      <c r="D147" s="3">
        <f t="shared" si="14"/>
        <v>800</v>
      </c>
      <c r="E147">
        <f t="shared" si="10"/>
        <v>800</v>
      </c>
      <c r="F147">
        <f t="shared" si="11"/>
        <v>800</v>
      </c>
      <c r="M147" s="1"/>
    </row>
    <row r="148" spans="1:13">
      <c r="A148">
        <v>147</v>
      </c>
      <c r="B148" s="3" t="str">
        <f t="shared" si="12"/>
        <v>SKU PROD C</v>
      </c>
      <c r="C148" s="4">
        <f t="shared" si="13"/>
        <v>46335</v>
      </c>
      <c r="D148" s="3">
        <f t="shared" si="14"/>
        <v>401</v>
      </c>
      <c r="E148">
        <f t="shared" si="10"/>
        <v>401</v>
      </c>
      <c r="F148">
        <f t="shared" si="11"/>
        <v>401</v>
      </c>
      <c r="M148" s="1"/>
    </row>
    <row r="149" spans="1:13">
      <c r="A149">
        <v>148</v>
      </c>
      <c r="B149" s="3" t="str">
        <f t="shared" si="12"/>
        <v>SKU PROD E</v>
      </c>
      <c r="C149" s="4">
        <f t="shared" si="13"/>
        <v>46338</v>
      </c>
      <c r="D149" s="3">
        <f t="shared" si="14"/>
        <v>280</v>
      </c>
      <c r="E149">
        <f t="shared" si="10"/>
        <v>280</v>
      </c>
      <c r="F149">
        <f t="shared" si="11"/>
        <v>280</v>
      </c>
      <c r="M149" s="1"/>
    </row>
    <row r="150" spans="1:13">
      <c r="A150">
        <v>149</v>
      </c>
      <c r="B150" s="3" t="str">
        <f t="shared" si="12"/>
        <v>SKU PROD B</v>
      </c>
      <c r="C150" s="4">
        <f t="shared" si="13"/>
        <v>46339</v>
      </c>
      <c r="D150" s="3">
        <f t="shared" si="14"/>
        <v>399</v>
      </c>
      <c r="E150">
        <f t="shared" si="10"/>
        <v>399</v>
      </c>
      <c r="F150">
        <f t="shared" si="11"/>
        <v>399</v>
      </c>
      <c r="M150" s="1"/>
    </row>
    <row r="151" spans="1:13">
      <c r="A151">
        <v>150</v>
      </c>
      <c r="B151" s="3" t="str">
        <f t="shared" si="12"/>
        <v>SKU PROD D</v>
      </c>
      <c r="C151" s="4">
        <f t="shared" si="13"/>
        <v>46343</v>
      </c>
      <c r="D151" s="3">
        <f t="shared" si="14"/>
        <v>565</v>
      </c>
      <c r="E151">
        <f t="shared" si="10"/>
        <v>565</v>
      </c>
      <c r="F151">
        <f t="shared" si="11"/>
        <v>565</v>
      </c>
      <c r="M151" s="1"/>
    </row>
    <row r="152" spans="1:13">
      <c r="A152">
        <v>151</v>
      </c>
      <c r="B152" s="3" t="str">
        <f t="shared" si="12"/>
        <v>SKU PROD C</v>
      </c>
      <c r="C152" s="4">
        <f t="shared" si="13"/>
        <v>46346</v>
      </c>
      <c r="D152" s="3">
        <f t="shared" si="14"/>
        <v>521</v>
      </c>
      <c r="E152">
        <f t="shared" si="10"/>
        <v>521</v>
      </c>
      <c r="F152">
        <f t="shared" si="11"/>
        <v>521</v>
      </c>
      <c r="M152" s="1"/>
    </row>
    <row r="153" spans="1:13">
      <c r="A153">
        <v>152</v>
      </c>
      <c r="B153" s="3" t="str">
        <f t="shared" si="12"/>
        <v>SKU PROD A</v>
      </c>
      <c r="C153" s="4">
        <f t="shared" si="13"/>
        <v>46350</v>
      </c>
      <c r="D153" s="3">
        <f t="shared" si="14"/>
        <v>719</v>
      </c>
      <c r="E153">
        <f t="shared" si="10"/>
        <v>719</v>
      </c>
      <c r="F153">
        <f t="shared" si="11"/>
        <v>719</v>
      </c>
      <c r="M153" s="1"/>
    </row>
    <row r="154" spans="1:13">
      <c r="A154">
        <v>153</v>
      </c>
      <c r="B154" s="3" t="str">
        <f t="shared" si="12"/>
        <v>SKU PROD D</v>
      </c>
      <c r="C154" s="4">
        <f t="shared" si="13"/>
        <v>46354</v>
      </c>
      <c r="D154" s="3">
        <f t="shared" si="14"/>
        <v>3153</v>
      </c>
      <c r="E154">
        <f t="shared" si="10"/>
        <v>3153</v>
      </c>
      <c r="F154">
        <f t="shared" si="11"/>
        <v>3153</v>
      </c>
      <c r="M154" s="1"/>
    </row>
    <row r="155" spans="1:13">
      <c r="A155">
        <v>154</v>
      </c>
      <c r="B155" s="3" t="str">
        <f t="shared" si="12"/>
        <v>SKU PROD E</v>
      </c>
      <c r="C155" s="4">
        <f t="shared" si="13"/>
        <v>46354</v>
      </c>
      <c r="D155" s="3">
        <f t="shared" si="14"/>
        <v>2104</v>
      </c>
      <c r="E155">
        <f t="shared" si="10"/>
        <v>2104</v>
      </c>
      <c r="F155">
        <f t="shared" si="11"/>
        <v>2104</v>
      </c>
      <c r="M155" s="1"/>
    </row>
    <row r="156" spans="1:13">
      <c r="A156">
        <v>155</v>
      </c>
      <c r="B156" s="3" t="str">
        <f t="shared" si="12"/>
        <v>SKU PROD A</v>
      </c>
      <c r="C156" s="4">
        <f t="shared" si="13"/>
        <v>46359</v>
      </c>
      <c r="D156" s="3">
        <f t="shared" si="14"/>
        <v>848</v>
      </c>
      <c r="E156">
        <f t="shared" si="10"/>
        <v>2038</v>
      </c>
      <c r="F156">
        <f t="shared" si="11"/>
        <v>2038</v>
      </c>
      <c r="M156" s="1"/>
    </row>
    <row r="157" spans="1:13">
      <c r="A157">
        <v>156</v>
      </c>
      <c r="B157" s="3" t="str">
        <f t="shared" si="12"/>
        <v>SKU PROD B</v>
      </c>
      <c r="C157" s="4">
        <f t="shared" si="13"/>
        <v>46359</v>
      </c>
      <c r="D157" s="3">
        <f t="shared" si="14"/>
        <v>5075</v>
      </c>
      <c r="E157">
        <f t="shared" si="10"/>
        <v>5075</v>
      </c>
      <c r="F157">
        <f t="shared" si="11"/>
        <v>5075</v>
      </c>
      <c r="M157" s="1"/>
    </row>
    <row r="158" spans="1:13">
      <c r="A158">
        <v>157</v>
      </c>
      <c r="B158" s="3" t="str">
        <f t="shared" si="12"/>
        <v>SKU PROD A</v>
      </c>
      <c r="C158" s="4">
        <f t="shared" si="13"/>
        <v>46360</v>
      </c>
      <c r="D158" s="3">
        <f t="shared" si="14"/>
        <v>342</v>
      </c>
      <c r="E158">
        <f t="shared" si="10"/>
        <v>1190</v>
      </c>
      <c r="F158">
        <f t="shared" si="11"/>
        <v>1190</v>
      </c>
      <c r="M158" s="1"/>
    </row>
    <row r="159" spans="1:13">
      <c r="A159">
        <v>158</v>
      </c>
      <c r="B159" s="3" t="str">
        <f t="shared" si="12"/>
        <v>SKU PROD C</v>
      </c>
      <c r="C159" s="4">
        <f t="shared" si="13"/>
        <v>46361</v>
      </c>
      <c r="D159" s="3">
        <f t="shared" si="14"/>
        <v>765</v>
      </c>
      <c r="E159">
        <f t="shared" si="10"/>
        <v>1191</v>
      </c>
      <c r="F159">
        <f t="shared" si="11"/>
        <v>1191</v>
      </c>
      <c r="M159" s="1"/>
    </row>
    <row r="160" spans="1:13">
      <c r="A160">
        <v>159</v>
      </c>
      <c r="B160" s="3" t="str">
        <f t="shared" si="12"/>
        <v>SKU PROD D</v>
      </c>
      <c r="C160" s="4">
        <f t="shared" si="13"/>
        <v>46362</v>
      </c>
      <c r="D160" s="3">
        <f t="shared" si="14"/>
        <v>511</v>
      </c>
      <c r="E160">
        <f t="shared" si="10"/>
        <v>511</v>
      </c>
      <c r="F160">
        <f t="shared" si="11"/>
        <v>511</v>
      </c>
      <c r="M160" s="1"/>
    </row>
    <row r="161" spans="1:13">
      <c r="A161">
        <v>160</v>
      </c>
      <c r="B161" s="3" t="str">
        <f t="shared" si="12"/>
        <v>SKU PROD A</v>
      </c>
      <c r="C161" s="4">
        <f t="shared" si="13"/>
        <v>46363</v>
      </c>
      <c r="D161" s="3">
        <f t="shared" si="14"/>
        <v>848</v>
      </c>
      <c r="E161">
        <f t="shared" si="10"/>
        <v>848</v>
      </c>
      <c r="F161">
        <f t="shared" si="11"/>
        <v>848</v>
      </c>
      <c r="M161" s="1"/>
    </row>
    <row r="162" spans="1:13">
      <c r="A162">
        <v>161</v>
      </c>
      <c r="B162" s="3" t="str">
        <f t="shared" si="12"/>
        <v>SKU PROD C</v>
      </c>
      <c r="C162" s="4">
        <f t="shared" si="13"/>
        <v>46365</v>
      </c>
      <c r="D162" s="3">
        <f t="shared" si="14"/>
        <v>426</v>
      </c>
      <c r="E162">
        <f t="shared" si="10"/>
        <v>426</v>
      </c>
      <c r="F162">
        <f t="shared" si="11"/>
        <v>426</v>
      </c>
      <c r="M162" s="1"/>
    </row>
    <row r="163" spans="1:13">
      <c r="A163">
        <v>162</v>
      </c>
      <c r="B163" s="3" t="str">
        <f t="shared" si="12"/>
        <v>SKU PROD E</v>
      </c>
      <c r="C163" s="4">
        <f t="shared" si="13"/>
        <v>46368</v>
      </c>
      <c r="D163" s="3">
        <f t="shared" si="14"/>
        <v>314</v>
      </c>
      <c r="E163">
        <f t="shared" si="10"/>
        <v>314</v>
      </c>
      <c r="F163">
        <f t="shared" si="11"/>
        <v>314</v>
      </c>
      <c r="M163" s="1"/>
    </row>
    <row r="164" spans="1:13">
      <c r="A164">
        <v>163</v>
      </c>
      <c r="B164" s="3" t="str">
        <f t="shared" si="12"/>
        <v>SKU PROD B</v>
      </c>
      <c r="C164" s="4">
        <f t="shared" si="13"/>
        <v>46369</v>
      </c>
      <c r="D164" s="3">
        <f t="shared" si="14"/>
        <v>447</v>
      </c>
      <c r="E164">
        <f t="shared" si="10"/>
        <v>447</v>
      </c>
      <c r="F164">
        <f t="shared" si="11"/>
        <v>447</v>
      </c>
      <c r="M164" s="1"/>
    </row>
    <row r="165" spans="1:13">
      <c r="A165">
        <v>164</v>
      </c>
      <c r="B165" s="3" t="str">
        <f t="shared" si="12"/>
        <v>SKU PROD D</v>
      </c>
      <c r="C165" s="4">
        <f t="shared" si="13"/>
        <v>46373</v>
      </c>
      <c r="D165" s="3">
        <f t="shared" si="14"/>
        <v>633</v>
      </c>
      <c r="E165">
        <f t="shared" si="10"/>
        <v>633</v>
      </c>
      <c r="F165">
        <f t="shared" si="11"/>
        <v>633</v>
      </c>
      <c r="M165" s="1"/>
    </row>
    <row r="166" spans="1:13">
      <c r="A166">
        <v>165</v>
      </c>
      <c r="B166" s="3" t="str">
        <f t="shared" si="12"/>
        <v>SKU PROD C</v>
      </c>
      <c r="C166" s="4">
        <f t="shared" si="13"/>
        <v>46376</v>
      </c>
      <c r="D166" s="3">
        <f t="shared" si="14"/>
        <v>584</v>
      </c>
      <c r="E166">
        <f t="shared" si="10"/>
        <v>584</v>
      </c>
      <c r="F166">
        <f t="shared" si="11"/>
        <v>584</v>
      </c>
      <c r="M166" s="1"/>
    </row>
    <row r="167" spans="1:13">
      <c r="A167">
        <v>166</v>
      </c>
      <c r="B167" s="3" t="str">
        <f t="shared" si="12"/>
        <v>SKU PROD A</v>
      </c>
      <c r="C167" s="4">
        <f t="shared" si="13"/>
        <v>46380</v>
      </c>
      <c r="D167" s="3">
        <f t="shared" si="14"/>
        <v>806</v>
      </c>
      <c r="E167">
        <f t="shared" si="10"/>
        <v>806</v>
      </c>
      <c r="F167">
        <f t="shared" si="11"/>
        <v>806</v>
      </c>
      <c r="M167" s="1"/>
    </row>
    <row r="168" spans="1:13">
      <c r="A168">
        <v>167</v>
      </c>
      <c r="B168" s="3" t="str">
        <f t="shared" si="12"/>
        <v>SKU PROD D</v>
      </c>
      <c r="C168" s="4">
        <f t="shared" si="13"/>
        <v>46384</v>
      </c>
      <c r="D168" s="3">
        <f t="shared" si="14"/>
        <v>3532</v>
      </c>
      <c r="E168">
        <f t="shared" si="10"/>
        <v>3532</v>
      </c>
      <c r="F168" t="str">
        <f t="shared" si="11"/>
        <v/>
      </c>
      <c r="M168" s="1"/>
    </row>
    <row r="169" spans="1:13">
      <c r="A169">
        <v>168</v>
      </c>
      <c r="B169" s="3" t="str">
        <f t="shared" si="12"/>
        <v>SKU PROD E</v>
      </c>
      <c r="C169" s="4">
        <f t="shared" si="13"/>
        <v>46384</v>
      </c>
      <c r="D169" s="3">
        <f t="shared" si="14"/>
        <v>2357</v>
      </c>
      <c r="E169">
        <f t="shared" si="10"/>
        <v>2357</v>
      </c>
      <c r="F169" t="str">
        <f t="shared" si="11"/>
        <v/>
      </c>
      <c r="M169" s="1"/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E70"/>
  <sheetViews>
    <sheetView zoomScale="130" zoomScaleNormal="130" workbookViewId="0">
      <selection activeCell="B7" sqref="B7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>
      <c r="A2">
        <v>1</v>
      </c>
      <c r="B2" t="s">
        <v>6</v>
      </c>
      <c r="C2" s="1">
        <v>46023</v>
      </c>
      <c r="D2">
        <v>2200</v>
      </c>
      <c r="E2" s="1" t="s">
        <v>16</v>
      </c>
    </row>
    <row r="3" spans="1:5">
      <c r="A3">
        <v>2</v>
      </c>
      <c r="B3" t="s">
        <v>7</v>
      </c>
      <c r="C3" s="1">
        <v>46023</v>
      </c>
      <c r="D3">
        <v>8000</v>
      </c>
      <c r="E3" t="s">
        <v>16</v>
      </c>
    </row>
    <row r="4" spans="1:5">
      <c r="A4">
        <v>3</v>
      </c>
      <c r="B4" t="s">
        <v>8</v>
      </c>
      <c r="C4" s="1">
        <v>46023</v>
      </c>
      <c r="D4">
        <v>1700</v>
      </c>
      <c r="E4" t="s">
        <v>16</v>
      </c>
    </row>
    <row r="5" spans="1:5">
      <c r="A5">
        <v>4</v>
      </c>
      <c r="B5" t="s">
        <v>9</v>
      </c>
      <c r="C5" s="1">
        <v>46023</v>
      </c>
      <c r="D5">
        <v>3500</v>
      </c>
      <c r="E5" t="s">
        <v>16</v>
      </c>
    </row>
    <row r="6" spans="1:5">
      <c r="A6">
        <v>5</v>
      </c>
      <c r="B6" t="s">
        <v>10</v>
      </c>
      <c r="C6" s="1">
        <v>46023</v>
      </c>
      <c r="D6">
        <v>2300</v>
      </c>
      <c r="E6" t="s">
        <v>16</v>
      </c>
    </row>
    <row r="7" spans="1:5">
      <c r="A7">
        <v>6</v>
      </c>
      <c r="C7" s="1"/>
    </row>
    <row r="8" spans="1:5">
      <c r="A8">
        <v>7</v>
      </c>
      <c r="C8" s="1"/>
    </row>
    <row r="9" spans="1:5">
      <c r="A9">
        <v>8</v>
      </c>
      <c r="C9" s="1"/>
    </row>
    <row r="10" spans="1:5">
      <c r="A10">
        <v>9</v>
      </c>
      <c r="C10" s="1"/>
    </row>
    <row r="11" spans="1:5">
      <c r="A11">
        <v>10</v>
      </c>
      <c r="C11" s="1"/>
    </row>
    <row r="12" spans="1:5">
      <c r="A12">
        <v>11</v>
      </c>
      <c r="C12" s="1"/>
    </row>
    <row r="13" spans="1:5">
      <c r="A13">
        <v>12</v>
      </c>
      <c r="C13" s="1"/>
    </row>
    <row r="14" spans="1:5">
      <c r="A14">
        <v>13</v>
      </c>
      <c r="C14" s="1"/>
    </row>
    <row r="15" spans="1:5">
      <c r="A15">
        <v>14</v>
      </c>
      <c r="C15" s="1"/>
    </row>
    <row r="16" spans="1:5">
      <c r="A16">
        <v>15</v>
      </c>
      <c r="C16" s="1"/>
    </row>
    <row r="17" spans="1:3">
      <c r="A17">
        <v>16</v>
      </c>
      <c r="C17" s="1"/>
    </row>
    <row r="18" spans="1:3">
      <c r="A18">
        <v>17</v>
      </c>
      <c r="C18" s="1"/>
    </row>
    <row r="19" spans="1:3">
      <c r="A19">
        <v>18</v>
      </c>
      <c r="C19" s="1"/>
    </row>
    <row r="20" spans="1:3">
      <c r="A20">
        <v>19</v>
      </c>
      <c r="C20" s="1"/>
    </row>
    <row r="21" spans="1:3">
      <c r="A21">
        <v>20</v>
      </c>
      <c r="C21" s="1"/>
    </row>
    <row r="22" spans="1:3">
      <c r="A22">
        <v>21</v>
      </c>
      <c r="C22" s="1"/>
    </row>
    <row r="23" spans="1:3">
      <c r="A23">
        <v>22</v>
      </c>
      <c r="C23" s="1"/>
    </row>
    <row r="24" spans="1:3">
      <c r="A24">
        <v>23</v>
      </c>
      <c r="C24" s="1"/>
    </row>
    <row r="25" spans="1:3">
      <c r="A25">
        <v>24</v>
      </c>
      <c r="C25" s="1"/>
    </row>
    <row r="26" spans="1:3">
      <c r="A26">
        <v>25</v>
      </c>
      <c r="C26" s="1"/>
    </row>
    <row r="27" spans="1:3">
      <c r="A27">
        <v>26</v>
      </c>
      <c r="C27" s="1"/>
    </row>
    <row r="28" spans="1:3">
      <c r="A28">
        <v>27</v>
      </c>
      <c r="C28" s="1"/>
    </row>
    <row r="29" spans="1:3">
      <c r="A29">
        <v>28</v>
      </c>
      <c r="C29" s="1"/>
    </row>
    <row r="30" spans="1:3">
      <c r="A30">
        <v>29</v>
      </c>
      <c r="C30" s="1"/>
    </row>
    <row r="31" spans="1:3">
      <c r="A31">
        <v>30</v>
      </c>
      <c r="C31" s="1"/>
    </row>
    <row r="32" spans="1:3">
      <c r="A32">
        <v>31</v>
      </c>
      <c r="C32" s="1"/>
    </row>
    <row r="33" spans="1:3">
      <c r="A33">
        <v>32</v>
      </c>
      <c r="C33" s="1"/>
    </row>
    <row r="34" spans="1:3">
      <c r="A34">
        <v>33</v>
      </c>
      <c r="C34" s="1"/>
    </row>
    <row r="35" spans="1:3">
      <c r="A35">
        <v>34</v>
      </c>
      <c r="C35" s="1"/>
    </row>
    <row r="36" spans="1:3">
      <c r="A36">
        <v>35</v>
      </c>
      <c r="C36" s="1"/>
    </row>
    <row r="37" spans="1:3">
      <c r="A37">
        <v>36</v>
      </c>
      <c r="C37" s="1"/>
    </row>
    <row r="38" spans="1:3">
      <c r="A38">
        <v>37</v>
      </c>
      <c r="C38" s="1"/>
    </row>
    <row r="39" spans="1:3">
      <c r="A39">
        <v>38</v>
      </c>
      <c r="C39" s="1"/>
    </row>
    <row r="40" spans="1:3">
      <c r="A40">
        <v>39</v>
      </c>
      <c r="C40" s="1"/>
    </row>
    <row r="41" spans="1:3">
      <c r="A41">
        <v>40</v>
      </c>
      <c r="C41" s="1"/>
    </row>
    <row r="42" spans="1:3">
      <c r="A42">
        <v>41</v>
      </c>
      <c r="C42" s="1"/>
    </row>
    <row r="43" spans="1:3">
      <c r="A43">
        <v>42</v>
      </c>
      <c r="C43" s="1"/>
    </row>
    <row r="44" spans="1:3">
      <c r="A44">
        <v>43</v>
      </c>
      <c r="C44" s="1"/>
    </row>
    <row r="45" spans="1:3">
      <c r="A45">
        <v>44</v>
      </c>
      <c r="C45" s="1"/>
    </row>
    <row r="46" spans="1:3">
      <c r="A46">
        <v>45</v>
      </c>
      <c r="C46" s="1"/>
    </row>
    <row r="47" spans="1:3">
      <c r="A47">
        <v>46</v>
      </c>
      <c r="C47" s="1"/>
    </row>
    <row r="48" spans="1:3">
      <c r="A48">
        <v>47</v>
      </c>
      <c r="C48" s="1"/>
    </row>
    <row r="49" spans="1:3">
      <c r="A49">
        <v>48</v>
      </c>
      <c r="C49" s="1"/>
    </row>
    <row r="50" spans="1:3">
      <c r="A50">
        <v>49</v>
      </c>
      <c r="C50" s="1"/>
    </row>
    <row r="51" spans="1:3">
      <c r="A51">
        <v>50</v>
      </c>
      <c r="C51" s="1"/>
    </row>
    <row r="52" spans="1:3">
      <c r="A52">
        <v>51</v>
      </c>
      <c r="C52" s="1"/>
    </row>
    <row r="53" spans="1:3">
      <c r="A53">
        <v>52</v>
      </c>
      <c r="C53" s="1"/>
    </row>
    <row r="54" spans="1:3">
      <c r="A54">
        <v>53</v>
      </c>
      <c r="C54" s="1"/>
    </row>
    <row r="55" spans="1:3">
      <c r="A55">
        <v>54</v>
      </c>
      <c r="C55" s="1"/>
    </row>
    <row r="56" spans="1:3">
      <c r="A56">
        <v>55</v>
      </c>
      <c r="C56" s="1"/>
    </row>
    <row r="57" spans="1:3">
      <c r="A57">
        <v>56</v>
      </c>
      <c r="C57" s="1"/>
    </row>
    <row r="58" spans="1:3">
      <c r="A58">
        <v>57</v>
      </c>
      <c r="C58" s="1"/>
    </row>
    <row r="59" spans="1:3">
      <c r="A59">
        <v>58</v>
      </c>
      <c r="C59" s="1"/>
    </row>
    <row r="60" spans="1:3">
      <c r="A60">
        <v>59</v>
      </c>
      <c r="C60" s="1"/>
    </row>
    <row r="61" spans="1:3">
      <c r="A61">
        <v>60</v>
      </c>
      <c r="C61" s="1"/>
    </row>
    <row r="62" spans="1:3">
      <c r="A62">
        <v>61</v>
      </c>
      <c r="C62" s="1"/>
    </row>
    <row r="63" spans="1:3">
      <c r="A63">
        <v>62</v>
      </c>
      <c r="C63" s="1"/>
    </row>
    <row r="64" spans="1:3">
      <c r="A64">
        <v>63</v>
      </c>
      <c r="C64" s="1"/>
    </row>
    <row r="65" spans="1:3">
      <c r="A65">
        <v>64</v>
      </c>
      <c r="C65" s="1"/>
    </row>
    <row r="66" spans="1:3">
      <c r="A66">
        <v>65</v>
      </c>
      <c r="C66" s="1"/>
    </row>
    <row r="67" spans="1:3">
      <c r="A67">
        <v>66</v>
      </c>
      <c r="C67" s="1"/>
    </row>
    <row r="68" spans="1:3">
      <c r="A68">
        <v>67</v>
      </c>
      <c r="C68" s="1"/>
    </row>
    <row r="69" spans="1:3">
      <c r="A69">
        <v>68</v>
      </c>
      <c r="C69" s="1"/>
    </row>
    <row r="70" spans="1:3">
      <c r="A70">
        <v>69</v>
      </c>
      <c r="C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tabSelected="1" topLeftCell="C1" zoomScale="115" zoomScaleNormal="115" workbookViewId="0">
      <selection activeCell="F4" sqref="F4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17</v>
      </c>
      <c r="D1" t="s">
        <v>18</v>
      </c>
    </row>
    <row r="2" spans="1:6">
      <c r="A2" t="s">
        <v>19</v>
      </c>
      <c r="B2" t="s">
        <v>20</v>
      </c>
      <c r="D2" t="s">
        <v>19</v>
      </c>
      <c r="E2" t="s">
        <v>21</v>
      </c>
      <c r="F2" t="s">
        <v>22</v>
      </c>
    </row>
    <row r="3" spans="1:6">
      <c r="A3" t="s">
        <v>6</v>
      </c>
      <c r="B3">
        <v>10000</v>
      </c>
      <c r="D3" t="s">
        <v>6</v>
      </c>
      <c r="E3">
        <f>_xlfn.MINIFS('Demand Projection'!$F$2:$F$169,
        'Demand Projection'!$B$2:$B$169,D3)</f>
        <v>678</v>
      </c>
      <c r="F3">
        <f>_xlfn.MAXIFS('Demand Projection'!$F$2:$F$169,
        'Demand Projection'!$B$2:$B$169,D3)</f>
        <v>2632</v>
      </c>
    </row>
    <row r="4" spans="1:6">
      <c r="A4" t="s">
        <v>7</v>
      </c>
      <c r="B4">
        <v>25000</v>
      </c>
      <c r="D4" t="s">
        <v>7</v>
      </c>
      <c r="E4">
        <f>_xlfn.MINIFS('Demand Projection'!$F$2:$F$169,
        'Demand Projection'!$B$2:$B$169,D4)</f>
        <v>376</v>
      </c>
      <c r="F4">
        <f>_xlfn.MAXIFS('Demand Projection'!$F$2:$F$169,
        'Demand Projection'!$B$2:$B$169,D4)</f>
        <v>6570</v>
      </c>
    </row>
    <row r="5" spans="1:6">
      <c r="A5" t="s">
        <v>8</v>
      </c>
      <c r="B5">
        <v>15000</v>
      </c>
      <c r="D5" t="s">
        <v>8</v>
      </c>
      <c r="E5">
        <f>_xlfn.MINIFS('Demand Projection'!$F$2:$F$169,
        'Demand Projection'!$B$2:$B$169,D5)</f>
        <v>358</v>
      </c>
      <c r="F5">
        <f>_xlfn.MAXIFS('Demand Projection'!$F$2:$F$169,
        'Demand Projection'!$B$2:$B$169,D5)</f>
        <v>1537</v>
      </c>
    </row>
    <row r="6" spans="1:6">
      <c r="A6" t="s">
        <v>9</v>
      </c>
      <c r="B6">
        <v>8000</v>
      </c>
      <c r="D6" t="s">
        <v>9</v>
      </c>
      <c r="E6">
        <f>_xlfn.MINIFS('Demand Projection'!$F$2:$F$169,
        'Demand Projection'!$B$2:$B$169,D6)</f>
        <v>430</v>
      </c>
      <c r="F6">
        <f>_xlfn.MAXIFS('Demand Projection'!$F$2:$F$169,
        'Demand Projection'!$B$2:$B$169,D6)</f>
        <v>3274</v>
      </c>
    </row>
    <row r="7" spans="1:6">
      <c r="A7" t="s">
        <v>10</v>
      </c>
      <c r="B7">
        <v>19500</v>
      </c>
      <c r="D7" t="s">
        <v>10</v>
      </c>
      <c r="E7">
        <f>_xlfn.MINIFS('Demand Projection'!$F$2:$F$169,
        'Demand Projection'!$B$2:$B$169,D7)</f>
        <v>250</v>
      </c>
      <c r="F7">
        <f>_xlfn.MAXIFS('Demand Projection'!$F$2:$F$169,
        'Demand Projection'!$B$2:$B$169,D7)</f>
        <v>2183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2026-09-12T23:04:52Z</dcterms:modified>
  <cp:category/>
  <cp:contentStatus/>
</cp:coreProperties>
</file>