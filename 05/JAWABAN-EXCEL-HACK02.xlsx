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projects\hackathon\007-HACK-2026-EXCEL-02\SOAL\"/>
    </mc:Choice>
  </mc:AlternateContent>
  <xr:revisionPtr revIDLastSave="0" documentId="8_{02A9FDEB-3638-4B27-8E4D-F1191A354A1E}" xr6:coauthVersionLast="47" xr6:coauthVersionMax="47" xr10:uidLastSave="{00000000-0000-0000-0000-000000000000}"/>
  <bookViews>
    <workbookView xWindow="-108" yWindow="-108" windowWidth="23256" windowHeight="12456" firstSheet="3" activeTab="1" xr2:uid="{22569C4C-5442-4ADD-AE82-33C27DE9681B}"/>
  </bookViews>
  <sheets>
    <sheet name="Demand Projection" sheetId="5" r:id="rId1"/>
    <sheet name="Warehouse" sheetId="6" r:id="rId2"/>
    <sheet name="Capacity" sheetId="9" r:id="rId3"/>
    <sheet name="Reorder Calc" sheetId="10" r:id="rId4"/>
    <sheet name="Reorder Events" sheetId="11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6" l="1" a="1"/>
  <c r="G8" i="6"/>
  <c r="G9" i="6" a="1"/>
  <c r="G9" i="6"/>
  <c r="G10" i="6" a="1"/>
  <c r="G10" i="6"/>
  <c r="G11" i="6" a="1"/>
  <c r="G11" i="6"/>
  <c r="G12" i="6" a="1"/>
  <c r="G12" i="6"/>
  <c r="G13" i="6" a="1"/>
  <c r="G13" i="6"/>
  <c r="G14" i="6" a="1"/>
  <c r="G14" i="6"/>
  <c r="G15" i="6" a="1"/>
  <c r="G15" i="6"/>
  <c r="G16" i="6" a="1"/>
  <c r="G16" i="6"/>
  <c r="G17" i="6" a="1"/>
  <c r="G17" i="6"/>
  <c r="G18" i="6" a="1"/>
  <c r="G18" i="6"/>
  <c r="G19" i="6" a="1"/>
  <c r="G19" i="6"/>
  <c r="G20" i="6" a="1"/>
  <c r="G20" i="6"/>
  <c r="G21" i="6" a="1"/>
  <c r="G21" i="6"/>
  <c r="G22" i="6" a="1"/>
  <c r="G22" i="6"/>
  <c r="G23" i="6" a="1"/>
  <c r="G23" i="6"/>
  <c r="G24" i="6" a="1"/>
  <c r="G24" i="6"/>
  <c r="G25" i="6" a="1"/>
  <c r="G25" i="6"/>
  <c r="G26" i="6" a="1"/>
  <c r="G26" i="6"/>
  <c r="G27" i="6" a="1"/>
  <c r="G27" i="6"/>
  <c r="G28" i="6" a="1"/>
  <c r="G28" i="6"/>
  <c r="G29" i="6" a="1"/>
  <c r="G29" i="6"/>
  <c r="G30" i="6" a="1"/>
  <c r="G30" i="6"/>
  <c r="G31" i="6" a="1"/>
  <c r="G31" i="6"/>
  <c r="G32" i="6" a="1"/>
  <c r="G32" i="6"/>
  <c r="G33" i="6" a="1"/>
  <c r="G33" i="6"/>
  <c r="G34" i="6" a="1"/>
  <c r="G34" i="6"/>
  <c r="G35" i="6" a="1"/>
  <c r="G35" i="6"/>
  <c r="G36" i="6" a="1"/>
  <c r="G36" i="6"/>
  <c r="G37" i="6" a="1"/>
  <c r="G37" i="6"/>
  <c r="G38" i="6" a="1"/>
  <c r="G38" i="6"/>
  <c r="G39" i="6" a="1"/>
  <c r="G39" i="6"/>
  <c r="G40" i="6" a="1"/>
  <c r="G40" i="6"/>
  <c r="G41" i="6" a="1"/>
  <c r="G41" i="6"/>
  <c r="G42" i="6" a="1"/>
  <c r="G42" i="6"/>
  <c r="G43" i="6" a="1"/>
  <c r="G43" i="6"/>
  <c r="G44" i="6" a="1"/>
  <c r="G44" i="6"/>
  <c r="G45" i="6" a="1"/>
  <c r="G45" i="6"/>
  <c r="G46" i="6" a="1"/>
  <c r="G46" i="6"/>
  <c r="G47" i="6" a="1"/>
  <c r="G47" i="6"/>
  <c r="G48" i="6" a="1"/>
  <c r="G48" i="6"/>
  <c r="G49" i="6" a="1"/>
  <c r="G49" i="6"/>
  <c r="G50" i="6" a="1"/>
  <c r="G50" i="6"/>
  <c r="G51" i="6" a="1"/>
  <c r="G51" i="6"/>
  <c r="G52" i="6" a="1"/>
  <c r="G52" i="6"/>
  <c r="G53" i="6" a="1"/>
  <c r="G53" i="6"/>
  <c r="G54" i="6" a="1"/>
  <c r="G54" i="6"/>
  <c r="G55" i="6" a="1"/>
  <c r="G55" i="6"/>
  <c r="G56" i="6" a="1"/>
  <c r="G56" i="6"/>
  <c r="G57" i="6" a="1"/>
  <c r="G57" i="6"/>
  <c r="G58" i="6" a="1"/>
  <c r="G58" i="6"/>
  <c r="G59" i="6" a="1"/>
  <c r="G59" i="6"/>
  <c r="G60" i="6" a="1"/>
  <c r="G60" i="6"/>
  <c r="G61" i="6" a="1"/>
  <c r="G61" i="6"/>
  <c r="G62" i="6" a="1"/>
  <c r="G62" i="6"/>
  <c r="G63" i="6" a="1"/>
  <c r="G63" i="6"/>
  <c r="G64" i="6" a="1"/>
  <c r="G64" i="6"/>
  <c r="G65" i="6" a="1"/>
  <c r="G65" i="6"/>
  <c r="G66" i="6" a="1"/>
  <c r="G66" i="6"/>
  <c r="G67" i="6" a="1"/>
  <c r="G67" i="6"/>
  <c r="G68" i="6" a="1"/>
  <c r="G68" i="6"/>
  <c r="G69" i="6" a="1"/>
  <c r="G69" i="6"/>
  <c r="G70" i="6" a="1"/>
  <c r="G70" i="6"/>
  <c r="G7" i="6" a="1"/>
  <c r="G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2" i="6"/>
  <c r="D8" i="6" a="1"/>
  <c r="D8" i="6"/>
  <c r="D9" i="6" a="1"/>
  <c r="D9" i="6"/>
  <c r="D10" i="6" a="1"/>
  <c r="D10" i="6"/>
  <c r="D11" i="6" a="1"/>
  <c r="D11" i="6"/>
  <c r="D12" i="6" a="1"/>
  <c r="D12" i="6"/>
  <c r="D13" i="6" a="1"/>
  <c r="D13" i="6"/>
  <c r="D14" i="6" a="1"/>
  <c r="D14" i="6"/>
  <c r="D15" i="6" a="1"/>
  <c r="D15" i="6"/>
  <c r="D16" i="6" a="1"/>
  <c r="D16" i="6"/>
  <c r="D17" i="6" a="1"/>
  <c r="D17" i="6"/>
  <c r="D18" i="6" a="1"/>
  <c r="D18" i="6"/>
  <c r="D19" i="6" a="1"/>
  <c r="D19" i="6"/>
  <c r="D20" i="6" a="1"/>
  <c r="D20" i="6"/>
  <c r="D21" i="6" a="1"/>
  <c r="D21" i="6"/>
  <c r="D22" i="6" a="1"/>
  <c r="D22" i="6"/>
  <c r="D23" i="6" a="1"/>
  <c r="D23" i="6"/>
  <c r="D24" i="6" a="1"/>
  <c r="D24" i="6"/>
  <c r="D25" i="6" a="1"/>
  <c r="D25" i="6"/>
  <c r="D26" i="6" a="1"/>
  <c r="D26" i="6"/>
  <c r="D27" i="6" a="1"/>
  <c r="D27" i="6"/>
  <c r="D28" i="6" a="1"/>
  <c r="D28" i="6"/>
  <c r="D29" i="6" a="1"/>
  <c r="D29" i="6"/>
  <c r="D30" i="6" a="1"/>
  <c r="D30" i="6"/>
  <c r="D31" i="6" a="1"/>
  <c r="D31" i="6"/>
  <c r="D32" i="6" a="1"/>
  <c r="D32" i="6"/>
  <c r="D33" i="6" a="1"/>
  <c r="D33" i="6"/>
  <c r="D34" i="6" a="1"/>
  <c r="D34" i="6"/>
  <c r="D35" i="6" a="1"/>
  <c r="D35" i="6"/>
  <c r="D36" i="6" a="1"/>
  <c r="D36" i="6"/>
  <c r="D37" i="6" a="1"/>
  <c r="D37" i="6"/>
  <c r="D38" i="6" a="1"/>
  <c r="D38" i="6"/>
  <c r="D39" i="6" a="1"/>
  <c r="D39" i="6"/>
  <c r="D40" i="6" a="1"/>
  <c r="D40" i="6"/>
  <c r="D41" i="6" a="1"/>
  <c r="D41" i="6"/>
  <c r="D42" i="6" a="1"/>
  <c r="D42" i="6"/>
  <c r="D43" i="6" a="1"/>
  <c r="D43" i="6"/>
  <c r="D44" i="6" a="1"/>
  <c r="D44" i="6"/>
  <c r="D45" i="6" a="1"/>
  <c r="D45" i="6"/>
  <c r="D46" i="6" a="1"/>
  <c r="D46" i="6"/>
  <c r="D47" i="6" a="1"/>
  <c r="D47" i="6"/>
  <c r="D48" i="6" a="1"/>
  <c r="D48" i="6"/>
  <c r="D49" i="6" a="1"/>
  <c r="D49" i="6"/>
  <c r="D50" i="6" a="1"/>
  <c r="D50" i="6"/>
  <c r="D51" i="6" a="1"/>
  <c r="D51" i="6"/>
  <c r="D52" i="6" a="1"/>
  <c r="D52" i="6"/>
  <c r="D53" i="6" a="1"/>
  <c r="D53" i="6"/>
  <c r="D54" i="6" a="1"/>
  <c r="D54" i="6"/>
  <c r="D55" i="6" a="1"/>
  <c r="D55" i="6"/>
  <c r="D56" i="6" a="1"/>
  <c r="D56" i="6"/>
  <c r="D57" i="6" a="1"/>
  <c r="D57" i="6"/>
  <c r="D58" i="6" a="1"/>
  <c r="D58" i="6"/>
  <c r="D59" i="6" a="1"/>
  <c r="D59" i="6"/>
  <c r="D60" i="6" a="1"/>
  <c r="D60" i="6"/>
  <c r="D61" i="6" a="1"/>
  <c r="D61" i="6"/>
  <c r="D62" i="6" a="1"/>
  <c r="D62" i="6"/>
  <c r="D63" i="6" a="1"/>
  <c r="D63" i="6"/>
  <c r="D64" i="6" a="1"/>
  <c r="D64" i="6"/>
  <c r="D65" i="6" a="1"/>
  <c r="D65" i="6"/>
  <c r="D66" i="6" a="1"/>
  <c r="D66" i="6"/>
  <c r="D67" i="6" a="1"/>
  <c r="D67" i="6"/>
  <c r="D68" i="6" a="1"/>
  <c r="D68" i="6"/>
  <c r="D69" i="6" a="1"/>
  <c r="D69" i="6"/>
  <c r="D70" i="6" a="1"/>
  <c r="D70" i="6"/>
  <c r="D7" i="6" a="1"/>
  <c r="D7" i="6"/>
  <c r="C8" i="6" a="1"/>
  <c r="C8" i="6"/>
  <c r="C9" i="6" a="1"/>
  <c r="C9" i="6"/>
  <c r="C10" i="6" a="1"/>
  <c r="C10" i="6"/>
  <c r="C11" i="6" a="1"/>
  <c r="C11" i="6"/>
  <c r="C12" i="6" a="1"/>
  <c r="C12" i="6"/>
  <c r="C13" i="6" a="1"/>
  <c r="C13" i="6"/>
  <c r="C14" i="6" a="1"/>
  <c r="C14" i="6"/>
  <c r="C15" i="6" a="1"/>
  <c r="C15" i="6"/>
  <c r="C16" i="6" a="1"/>
  <c r="C16" i="6"/>
  <c r="C17" i="6" a="1"/>
  <c r="C17" i="6"/>
  <c r="C18" i="6" a="1"/>
  <c r="C18" i="6"/>
  <c r="C19" i="6" a="1"/>
  <c r="C19" i="6"/>
  <c r="C20" i="6" a="1"/>
  <c r="C20" i="6"/>
  <c r="C21" i="6" a="1"/>
  <c r="C21" i="6"/>
  <c r="C22" i="6" a="1"/>
  <c r="C22" i="6"/>
  <c r="C23" i="6" a="1"/>
  <c r="C23" i="6"/>
  <c r="C24" i="6" a="1"/>
  <c r="C24" i="6"/>
  <c r="C25" i="6" a="1"/>
  <c r="C25" i="6"/>
  <c r="C26" i="6" a="1"/>
  <c r="C26" i="6"/>
  <c r="C27" i="6" a="1"/>
  <c r="C27" i="6"/>
  <c r="C28" i="6" a="1"/>
  <c r="C28" i="6"/>
  <c r="C29" i="6" a="1"/>
  <c r="C29" i="6"/>
  <c r="C30" i="6" a="1"/>
  <c r="C30" i="6"/>
  <c r="C31" i="6" a="1"/>
  <c r="C31" i="6"/>
  <c r="C32" i="6" a="1"/>
  <c r="C32" i="6"/>
  <c r="C33" i="6" a="1"/>
  <c r="C33" i="6"/>
  <c r="C34" i="6" a="1"/>
  <c r="C34" i="6"/>
  <c r="C35" i="6" a="1"/>
  <c r="C35" i="6"/>
  <c r="C36" i="6" a="1"/>
  <c r="C36" i="6"/>
  <c r="C37" i="6" a="1"/>
  <c r="C37" i="6"/>
  <c r="C38" i="6" a="1"/>
  <c r="C38" i="6"/>
  <c r="C39" i="6" a="1"/>
  <c r="C39" i="6"/>
  <c r="C40" i="6" a="1"/>
  <c r="C40" i="6"/>
  <c r="C41" i="6" a="1"/>
  <c r="C41" i="6"/>
  <c r="C42" i="6" a="1"/>
  <c r="C42" i="6"/>
  <c r="C43" i="6" a="1"/>
  <c r="C43" i="6"/>
  <c r="C44" i="6" a="1"/>
  <c r="C44" i="6"/>
  <c r="C45" i="6" a="1"/>
  <c r="C45" i="6"/>
  <c r="C46" i="6" a="1"/>
  <c r="C46" i="6"/>
  <c r="C47" i="6" a="1"/>
  <c r="C47" i="6"/>
  <c r="C48" i="6" a="1"/>
  <c r="C48" i="6"/>
  <c r="C49" i="6" a="1"/>
  <c r="C49" i="6"/>
  <c r="C50" i="6" a="1"/>
  <c r="C50" i="6"/>
  <c r="C51" i="6" a="1"/>
  <c r="C51" i="6"/>
  <c r="C52" i="6" a="1"/>
  <c r="C52" i="6"/>
  <c r="C53" i="6" a="1"/>
  <c r="C53" i="6"/>
  <c r="C54" i="6" a="1"/>
  <c r="C54" i="6"/>
  <c r="C55" i="6" a="1"/>
  <c r="C55" i="6"/>
  <c r="C56" i="6" a="1"/>
  <c r="C56" i="6"/>
  <c r="C57" i="6" a="1"/>
  <c r="C57" i="6"/>
  <c r="C58" i="6" a="1"/>
  <c r="C58" i="6"/>
  <c r="C59" i="6" a="1"/>
  <c r="C59" i="6"/>
  <c r="C60" i="6" a="1"/>
  <c r="C60" i="6"/>
  <c r="C61" i="6" a="1"/>
  <c r="C61" i="6"/>
  <c r="C62" i="6" a="1"/>
  <c r="C62" i="6"/>
  <c r="C63" i="6" a="1"/>
  <c r="C63" i="6"/>
  <c r="C64" i="6" a="1"/>
  <c r="C64" i="6"/>
  <c r="C65" i="6" a="1"/>
  <c r="C65" i="6"/>
  <c r="C66" i="6" a="1"/>
  <c r="C66" i="6"/>
  <c r="C67" i="6" a="1"/>
  <c r="C67" i="6"/>
  <c r="C68" i="6" a="1"/>
  <c r="C68" i="6"/>
  <c r="C69" i="6" a="1"/>
  <c r="C69" i="6"/>
  <c r="C70" i="6" a="1"/>
  <c r="C70" i="6"/>
  <c r="C7" i="6" a="1"/>
  <c r="C7" i="6"/>
  <c r="B8" i="6" a="1"/>
  <c r="B8" i="6"/>
  <c r="B9" i="6" a="1"/>
  <c r="B9" i="6"/>
  <c r="B10" i="6" a="1"/>
  <c r="B10" i="6"/>
  <c r="B11" i="6" a="1"/>
  <c r="B11" i="6"/>
  <c r="B12" i="6" a="1"/>
  <c r="B12" i="6"/>
  <c r="B13" i="6" a="1"/>
  <c r="B13" i="6"/>
  <c r="B14" i="6" a="1"/>
  <c r="B14" i="6"/>
  <c r="B15" i="6" a="1"/>
  <c r="B15" i="6"/>
  <c r="B16" i="6" a="1"/>
  <c r="B16" i="6"/>
  <c r="B17" i="6" a="1"/>
  <c r="B17" i="6"/>
  <c r="B18" i="6" a="1"/>
  <c r="B18" i="6"/>
  <c r="B19" i="6" a="1"/>
  <c r="B19" i="6"/>
  <c r="B20" i="6" a="1"/>
  <c r="B20" i="6"/>
  <c r="B21" i="6" a="1"/>
  <c r="B21" i="6"/>
  <c r="B22" i="6" a="1"/>
  <c r="B22" i="6"/>
  <c r="B23" i="6" a="1"/>
  <c r="B23" i="6"/>
  <c r="B24" i="6" a="1"/>
  <c r="B24" i="6"/>
  <c r="B25" i="6" a="1"/>
  <c r="B25" i="6"/>
  <c r="B26" i="6" a="1"/>
  <c r="B26" i="6"/>
  <c r="B27" i="6" a="1"/>
  <c r="B27" i="6"/>
  <c r="B28" i="6" a="1"/>
  <c r="B28" i="6"/>
  <c r="B29" i="6" a="1"/>
  <c r="B29" i="6"/>
  <c r="B30" i="6" a="1"/>
  <c r="B30" i="6"/>
  <c r="B31" i="6" a="1"/>
  <c r="B31" i="6"/>
  <c r="B32" i="6" a="1"/>
  <c r="B32" i="6"/>
  <c r="B33" i="6" a="1"/>
  <c r="B33" i="6"/>
  <c r="B34" i="6" a="1"/>
  <c r="B34" i="6"/>
  <c r="B35" i="6" a="1"/>
  <c r="B35" i="6"/>
  <c r="B36" i="6" a="1"/>
  <c r="B36" i="6"/>
  <c r="B37" i="6" a="1"/>
  <c r="B37" i="6"/>
  <c r="B38" i="6" a="1"/>
  <c r="B38" i="6"/>
  <c r="B39" i="6" a="1"/>
  <c r="B39" i="6"/>
  <c r="B40" i="6" a="1"/>
  <c r="B40" i="6"/>
  <c r="B41" i="6" a="1"/>
  <c r="B41" i="6"/>
  <c r="B42" i="6" a="1"/>
  <c r="B42" i="6"/>
  <c r="B43" i="6" a="1"/>
  <c r="B43" i="6"/>
  <c r="B44" i="6" a="1"/>
  <c r="B44" i="6"/>
  <c r="B45" i="6" a="1"/>
  <c r="B45" i="6"/>
  <c r="B46" i="6" a="1"/>
  <c r="B46" i="6"/>
  <c r="B47" i="6" a="1"/>
  <c r="B47" i="6"/>
  <c r="B48" i="6" a="1"/>
  <c r="B48" i="6"/>
  <c r="B49" i="6" a="1"/>
  <c r="B49" i="6"/>
  <c r="B50" i="6" a="1"/>
  <c r="B50" i="6"/>
  <c r="B51" i="6" a="1"/>
  <c r="B51" i="6"/>
  <c r="B52" i="6" a="1"/>
  <c r="B52" i="6"/>
  <c r="B53" i="6" a="1"/>
  <c r="B53" i="6"/>
  <c r="B54" i="6" a="1"/>
  <c r="B54" i="6"/>
  <c r="B55" i="6" a="1"/>
  <c r="B55" i="6"/>
  <c r="B56" i="6" a="1"/>
  <c r="B56" i="6"/>
  <c r="B57" i="6" a="1"/>
  <c r="B57" i="6"/>
  <c r="B58" i="6" a="1"/>
  <c r="B58" i="6"/>
  <c r="B59" i="6" a="1"/>
  <c r="B59" i="6"/>
  <c r="B60" i="6" a="1"/>
  <c r="B60" i="6"/>
  <c r="B61" i="6" a="1"/>
  <c r="B61" i="6"/>
  <c r="B62" i="6" a="1"/>
  <c r="B62" i="6"/>
  <c r="B63" i="6" a="1"/>
  <c r="B63" i="6"/>
  <c r="B64" i="6" a="1"/>
  <c r="B64" i="6"/>
  <c r="B65" i="6" a="1"/>
  <c r="B65" i="6"/>
  <c r="B66" i="6" a="1"/>
  <c r="B66" i="6"/>
  <c r="B67" i="6" a="1"/>
  <c r="B67" i="6"/>
  <c r="B68" i="6" a="1"/>
  <c r="B68" i="6"/>
  <c r="B69" i="6" a="1"/>
  <c r="B69" i="6"/>
  <c r="B70" i="6" a="1"/>
  <c r="B70" i="6"/>
  <c r="B7" i="6" a="1"/>
  <c r="B7" i="6"/>
  <c r="A2" i="11" a="1"/>
  <c r="A2" i="11"/>
  <c r="M2" i="10"/>
  <c r="N2" i="10"/>
  <c r="O2" i="10"/>
  <c r="P2" i="10"/>
  <c r="L2" i="10"/>
  <c r="Q2" i="10"/>
  <c r="R2" i="10"/>
  <c r="S2" i="10"/>
  <c r="T2" i="10"/>
  <c r="U2" i="10"/>
  <c r="H3" i="10" a="1"/>
  <c r="H3" i="10"/>
  <c r="R3" i="10" s="1"/>
  <c r="M3" i="10" s="1"/>
  <c r="I3" i="10" a="1"/>
  <c r="I3" i="10"/>
  <c r="S3" i="10" s="1"/>
  <c r="N3" i="10" s="1"/>
  <c r="J3" i="10" a="1"/>
  <c r="J3" i="10"/>
  <c r="T3" i="10" s="1"/>
  <c r="O3" i="10" s="1"/>
  <c r="K3" i="10" a="1"/>
  <c r="K3" i="10"/>
  <c r="U3" i="10" s="1"/>
  <c r="P3" i="10" s="1"/>
  <c r="G3" i="10" a="1"/>
  <c r="G3" i="10"/>
  <c r="H2" i="10"/>
  <c r="I2" i="10"/>
  <c r="J2" i="10"/>
  <c r="K2" i="10"/>
  <c r="G2" i="10"/>
  <c r="B5" i="10"/>
  <c r="C5" i="10"/>
  <c r="D5" i="10"/>
  <c r="E5" i="10"/>
  <c r="F5" i="10"/>
  <c r="B6" i="10"/>
  <c r="C6" i="10"/>
  <c r="D6" i="10"/>
  <c r="E6" i="10"/>
  <c r="F6" i="10"/>
  <c r="B7" i="10"/>
  <c r="C7" i="10"/>
  <c r="D7" i="10"/>
  <c r="E7" i="10"/>
  <c r="F7" i="10"/>
  <c r="B8" i="10"/>
  <c r="C8" i="10"/>
  <c r="D8" i="10"/>
  <c r="E8" i="10"/>
  <c r="F8" i="10"/>
  <c r="B9" i="10"/>
  <c r="C9" i="10"/>
  <c r="D9" i="10"/>
  <c r="E9" i="10"/>
  <c r="F9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B14" i="10"/>
  <c r="C14" i="10"/>
  <c r="D14" i="10"/>
  <c r="E14" i="10"/>
  <c r="F14" i="10"/>
  <c r="B15" i="10"/>
  <c r="C15" i="10"/>
  <c r="D15" i="10"/>
  <c r="E15" i="10"/>
  <c r="F15" i="10"/>
  <c r="B16" i="10"/>
  <c r="C16" i="10"/>
  <c r="D16" i="10"/>
  <c r="E16" i="10"/>
  <c r="F16" i="10"/>
  <c r="B17" i="10"/>
  <c r="C17" i="10"/>
  <c r="D17" i="10"/>
  <c r="E17" i="10"/>
  <c r="F17" i="10"/>
  <c r="B18" i="10"/>
  <c r="C18" i="10"/>
  <c r="D18" i="10"/>
  <c r="E18" i="10"/>
  <c r="F18" i="10"/>
  <c r="B19" i="10"/>
  <c r="C19" i="10"/>
  <c r="D19" i="10"/>
  <c r="E19" i="10"/>
  <c r="F19" i="10"/>
  <c r="B20" i="10"/>
  <c r="C20" i="10"/>
  <c r="D20" i="10"/>
  <c r="E20" i="10"/>
  <c r="F20" i="10"/>
  <c r="B21" i="10"/>
  <c r="C21" i="10"/>
  <c r="D21" i="10"/>
  <c r="E21" i="10"/>
  <c r="F21" i="10"/>
  <c r="B22" i="10"/>
  <c r="C22" i="10"/>
  <c r="D22" i="10"/>
  <c r="E22" i="10"/>
  <c r="F22" i="10"/>
  <c r="B23" i="10"/>
  <c r="C23" i="10"/>
  <c r="D23" i="10"/>
  <c r="E23" i="10"/>
  <c r="F23" i="10"/>
  <c r="B24" i="10"/>
  <c r="C24" i="10"/>
  <c r="D24" i="10"/>
  <c r="E24" i="10"/>
  <c r="F24" i="10"/>
  <c r="B25" i="10"/>
  <c r="C25" i="10"/>
  <c r="D25" i="10"/>
  <c r="E25" i="10"/>
  <c r="F25" i="10"/>
  <c r="B26" i="10"/>
  <c r="C26" i="10"/>
  <c r="D26" i="10"/>
  <c r="E26" i="10"/>
  <c r="F26" i="10"/>
  <c r="B27" i="10"/>
  <c r="C27" i="10"/>
  <c r="D27" i="10"/>
  <c r="E27" i="10"/>
  <c r="F27" i="10"/>
  <c r="B28" i="10"/>
  <c r="C28" i="10"/>
  <c r="D28" i="10"/>
  <c r="E28" i="10"/>
  <c r="F28" i="10"/>
  <c r="B29" i="10"/>
  <c r="C29" i="10"/>
  <c r="D29" i="10"/>
  <c r="E29" i="10"/>
  <c r="F29" i="10"/>
  <c r="B30" i="10"/>
  <c r="C30" i="10"/>
  <c r="D30" i="10"/>
  <c r="E30" i="10"/>
  <c r="F30" i="10"/>
  <c r="B31" i="10"/>
  <c r="C31" i="10"/>
  <c r="D31" i="10"/>
  <c r="E31" i="10"/>
  <c r="F31" i="10"/>
  <c r="B32" i="10"/>
  <c r="C32" i="10"/>
  <c r="D32" i="10"/>
  <c r="E32" i="10"/>
  <c r="F32" i="10"/>
  <c r="B33" i="10"/>
  <c r="C33" i="10"/>
  <c r="D33" i="10"/>
  <c r="E33" i="10"/>
  <c r="F33" i="10"/>
  <c r="B34" i="10"/>
  <c r="C34" i="10"/>
  <c r="D34" i="10"/>
  <c r="E34" i="10"/>
  <c r="F34" i="10"/>
  <c r="B35" i="10"/>
  <c r="C35" i="10"/>
  <c r="D35" i="10"/>
  <c r="E35" i="10"/>
  <c r="F35" i="10"/>
  <c r="B36" i="10"/>
  <c r="C36" i="10"/>
  <c r="D36" i="10"/>
  <c r="E36" i="10"/>
  <c r="F36" i="10"/>
  <c r="B37" i="10"/>
  <c r="C37" i="10"/>
  <c r="D37" i="10"/>
  <c r="E37" i="10"/>
  <c r="F37" i="10"/>
  <c r="B38" i="10"/>
  <c r="C38" i="10"/>
  <c r="D38" i="10"/>
  <c r="E38" i="10"/>
  <c r="F38" i="10"/>
  <c r="B39" i="10"/>
  <c r="C39" i="10"/>
  <c r="D39" i="10"/>
  <c r="E39" i="10"/>
  <c r="F39" i="10"/>
  <c r="B40" i="10"/>
  <c r="C40" i="10"/>
  <c r="D40" i="10"/>
  <c r="E40" i="10"/>
  <c r="F40" i="10"/>
  <c r="B41" i="10"/>
  <c r="C41" i="10"/>
  <c r="D41" i="10"/>
  <c r="E41" i="10"/>
  <c r="F41" i="10"/>
  <c r="B42" i="10"/>
  <c r="C42" i="10"/>
  <c r="D42" i="10"/>
  <c r="E42" i="10"/>
  <c r="F42" i="10"/>
  <c r="B43" i="10"/>
  <c r="C43" i="10"/>
  <c r="D43" i="10"/>
  <c r="E43" i="10"/>
  <c r="F43" i="10"/>
  <c r="B44" i="10"/>
  <c r="C44" i="10"/>
  <c r="D44" i="10"/>
  <c r="E44" i="10"/>
  <c r="F44" i="10"/>
  <c r="B45" i="10"/>
  <c r="C45" i="10"/>
  <c r="D45" i="10"/>
  <c r="E45" i="10"/>
  <c r="F45" i="10"/>
  <c r="B46" i="10"/>
  <c r="C46" i="10"/>
  <c r="D46" i="10"/>
  <c r="E46" i="10"/>
  <c r="F46" i="10"/>
  <c r="B47" i="10"/>
  <c r="C47" i="10"/>
  <c r="D47" i="10"/>
  <c r="E47" i="10"/>
  <c r="F47" i="10"/>
  <c r="B48" i="10"/>
  <c r="C48" i="10"/>
  <c r="D48" i="10"/>
  <c r="E48" i="10"/>
  <c r="F48" i="10"/>
  <c r="B49" i="10"/>
  <c r="C49" i="10"/>
  <c r="D49" i="10"/>
  <c r="E49" i="10"/>
  <c r="F49" i="10"/>
  <c r="B50" i="10"/>
  <c r="C50" i="10"/>
  <c r="D50" i="10"/>
  <c r="E50" i="10"/>
  <c r="F50" i="10"/>
  <c r="B51" i="10"/>
  <c r="C51" i="10"/>
  <c r="D51" i="10"/>
  <c r="E51" i="10"/>
  <c r="F51" i="10"/>
  <c r="B52" i="10"/>
  <c r="C52" i="10"/>
  <c r="D52" i="10"/>
  <c r="E52" i="10"/>
  <c r="F52" i="10"/>
  <c r="B53" i="10"/>
  <c r="C53" i="10"/>
  <c r="D53" i="10"/>
  <c r="E53" i="10"/>
  <c r="F53" i="10"/>
  <c r="B54" i="10"/>
  <c r="C54" i="10"/>
  <c r="D54" i="10"/>
  <c r="E54" i="10"/>
  <c r="F54" i="10"/>
  <c r="B55" i="10"/>
  <c r="C55" i="10"/>
  <c r="D55" i="10"/>
  <c r="E55" i="10"/>
  <c r="F55" i="10"/>
  <c r="B56" i="10"/>
  <c r="C56" i="10"/>
  <c r="D56" i="10"/>
  <c r="E56" i="10"/>
  <c r="F56" i="10"/>
  <c r="B57" i="10"/>
  <c r="C57" i="10"/>
  <c r="D57" i="10"/>
  <c r="E57" i="10"/>
  <c r="F57" i="10"/>
  <c r="B58" i="10"/>
  <c r="C58" i="10"/>
  <c r="D58" i="10"/>
  <c r="E58" i="10"/>
  <c r="F58" i="10"/>
  <c r="B59" i="10"/>
  <c r="C59" i="10"/>
  <c r="D59" i="10"/>
  <c r="E59" i="10"/>
  <c r="F59" i="10"/>
  <c r="B60" i="10"/>
  <c r="C60" i="10"/>
  <c r="D60" i="10"/>
  <c r="E60" i="10"/>
  <c r="F60" i="10"/>
  <c r="B61" i="10"/>
  <c r="C61" i="10"/>
  <c r="D61" i="10"/>
  <c r="E61" i="10"/>
  <c r="F61" i="10"/>
  <c r="B62" i="10"/>
  <c r="C62" i="10"/>
  <c r="D62" i="10"/>
  <c r="E62" i="10"/>
  <c r="F62" i="10"/>
  <c r="B63" i="10"/>
  <c r="C63" i="10"/>
  <c r="D63" i="10"/>
  <c r="E63" i="10"/>
  <c r="F63" i="10"/>
  <c r="B64" i="10"/>
  <c r="C64" i="10"/>
  <c r="D64" i="10"/>
  <c r="E64" i="10"/>
  <c r="F64" i="10"/>
  <c r="B65" i="10"/>
  <c r="C65" i="10"/>
  <c r="D65" i="10"/>
  <c r="E65" i="10"/>
  <c r="F65" i="10"/>
  <c r="B66" i="10"/>
  <c r="C66" i="10"/>
  <c r="D66" i="10"/>
  <c r="E66" i="10"/>
  <c r="F66" i="10"/>
  <c r="B67" i="10"/>
  <c r="C67" i="10"/>
  <c r="D67" i="10"/>
  <c r="E67" i="10"/>
  <c r="F67" i="10"/>
  <c r="B68" i="10"/>
  <c r="C68" i="10"/>
  <c r="D68" i="10"/>
  <c r="E68" i="10"/>
  <c r="F68" i="10"/>
  <c r="B69" i="10"/>
  <c r="C69" i="10"/>
  <c r="D69" i="10"/>
  <c r="E69" i="10"/>
  <c r="F69" i="10"/>
  <c r="B70" i="10"/>
  <c r="C70" i="10"/>
  <c r="D70" i="10"/>
  <c r="E70" i="10"/>
  <c r="F70" i="10"/>
  <c r="B71" i="10"/>
  <c r="C71" i="10"/>
  <c r="D71" i="10"/>
  <c r="E71" i="10"/>
  <c r="F71" i="10"/>
  <c r="B72" i="10"/>
  <c r="C72" i="10"/>
  <c r="D72" i="10"/>
  <c r="E72" i="10"/>
  <c r="F72" i="10"/>
  <c r="B73" i="10"/>
  <c r="C73" i="10"/>
  <c r="D73" i="10"/>
  <c r="E73" i="10"/>
  <c r="F73" i="10"/>
  <c r="B74" i="10"/>
  <c r="C74" i="10"/>
  <c r="D74" i="10"/>
  <c r="E74" i="10"/>
  <c r="F74" i="10"/>
  <c r="B75" i="10"/>
  <c r="C75" i="10"/>
  <c r="D75" i="10"/>
  <c r="E75" i="10"/>
  <c r="F75" i="10"/>
  <c r="B76" i="10"/>
  <c r="C76" i="10"/>
  <c r="D76" i="10"/>
  <c r="E76" i="10"/>
  <c r="F76" i="10"/>
  <c r="B77" i="10"/>
  <c r="C77" i="10"/>
  <c r="D77" i="10"/>
  <c r="E77" i="10"/>
  <c r="F77" i="10"/>
  <c r="B78" i="10"/>
  <c r="C78" i="10"/>
  <c r="D78" i="10"/>
  <c r="E78" i="10"/>
  <c r="F78" i="10"/>
  <c r="B79" i="10"/>
  <c r="C79" i="10"/>
  <c r="D79" i="10"/>
  <c r="E79" i="10"/>
  <c r="F79" i="10"/>
  <c r="B80" i="10"/>
  <c r="C80" i="10"/>
  <c r="D80" i="10"/>
  <c r="E80" i="10"/>
  <c r="F80" i="10"/>
  <c r="B81" i="10"/>
  <c r="C81" i="10"/>
  <c r="D81" i="10"/>
  <c r="E81" i="10"/>
  <c r="F81" i="10"/>
  <c r="B82" i="10"/>
  <c r="C82" i="10"/>
  <c r="D82" i="10"/>
  <c r="E82" i="10"/>
  <c r="F82" i="10"/>
  <c r="B83" i="10"/>
  <c r="C83" i="10"/>
  <c r="D83" i="10"/>
  <c r="E83" i="10"/>
  <c r="F83" i="10"/>
  <c r="B84" i="10"/>
  <c r="C84" i="10"/>
  <c r="D84" i="10"/>
  <c r="E84" i="10"/>
  <c r="F84" i="10"/>
  <c r="B85" i="10"/>
  <c r="C85" i="10"/>
  <c r="D85" i="10"/>
  <c r="E85" i="10"/>
  <c r="F85" i="10"/>
  <c r="B86" i="10"/>
  <c r="C86" i="10"/>
  <c r="D86" i="10"/>
  <c r="E86" i="10"/>
  <c r="F86" i="10"/>
  <c r="B87" i="10"/>
  <c r="C87" i="10"/>
  <c r="D87" i="10"/>
  <c r="E87" i="10"/>
  <c r="F87" i="10"/>
  <c r="B88" i="10"/>
  <c r="C88" i="10"/>
  <c r="D88" i="10"/>
  <c r="E88" i="10"/>
  <c r="F88" i="10"/>
  <c r="B89" i="10"/>
  <c r="C89" i="10"/>
  <c r="D89" i="10"/>
  <c r="E89" i="10"/>
  <c r="F89" i="10"/>
  <c r="B90" i="10"/>
  <c r="C90" i="10"/>
  <c r="D90" i="10"/>
  <c r="E90" i="10"/>
  <c r="F90" i="10"/>
  <c r="B91" i="10"/>
  <c r="C91" i="10"/>
  <c r="D91" i="10"/>
  <c r="E91" i="10"/>
  <c r="F91" i="10"/>
  <c r="B92" i="10"/>
  <c r="C92" i="10"/>
  <c r="D92" i="10"/>
  <c r="E92" i="10"/>
  <c r="F92" i="10"/>
  <c r="B93" i="10"/>
  <c r="C93" i="10"/>
  <c r="D93" i="10"/>
  <c r="E93" i="10"/>
  <c r="F93" i="10"/>
  <c r="B94" i="10"/>
  <c r="C94" i="10"/>
  <c r="D94" i="10"/>
  <c r="E94" i="10"/>
  <c r="F94" i="10"/>
  <c r="B95" i="10"/>
  <c r="C95" i="10"/>
  <c r="D95" i="10"/>
  <c r="E95" i="10"/>
  <c r="F95" i="10"/>
  <c r="B96" i="10"/>
  <c r="C96" i="10"/>
  <c r="D96" i="10"/>
  <c r="E96" i="10"/>
  <c r="F96" i="10"/>
  <c r="B97" i="10"/>
  <c r="C97" i="10"/>
  <c r="D97" i="10"/>
  <c r="E97" i="10"/>
  <c r="F97" i="10"/>
  <c r="B98" i="10"/>
  <c r="C98" i="10"/>
  <c r="D98" i="10"/>
  <c r="E98" i="10"/>
  <c r="F98" i="10"/>
  <c r="B99" i="10"/>
  <c r="C99" i="10"/>
  <c r="D99" i="10"/>
  <c r="E99" i="10"/>
  <c r="F99" i="10"/>
  <c r="B100" i="10"/>
  <c r="C100" i="10"/>
  <c r="D100" i="10"/>
  <c r="E100" i="10"/>
  <c r="F100" i="10"/>
  <c r="B101" i="10"/>
  <c r="C101" i="10"/>
  <c r="D101" i="10"/>
  <c r="E101" i="10"/>
  <c r="F101" i="10"/>
  <c r="B102" i="10"/>
  <c r="C102" i="10"/>
  <c r="D102" i="10"/>
  <c r="E102" i="10"/>
  <c r="F102" i="10"/>
  <c r="B103" i="10"/>
  <c r="C103" i="10"/>
  <c r="D103" i="10"/>
  <c r="E103" i="10"/>
  <c r="F103" i="10"/>
  <c r="B104" i="10"/>
  <c r="C104" i="10"/>
  <c r="D104" i="10"/>
  <c r="E104" i="10"/>
  <c r="F104" i="10"/>
  <c r="B105" i="10"/>
  <c r="C105" i="10"/>
  <c r="D105" i="10"/>
  <c r="E105" i="10"/>
  <c r="F105" i="10"/>
  <c r="B106" i="10"/>
  <c r="C106" i="10"/>
  <c r="D106" i="10"/>
  <c r="E106" i="10"/>
  <c r="F106" i="10"/>
  <c r="B107" i="10"/>
  <c r="C107" i="10"/>
  <c r="D107" i="10"/>
  <c r="E107" i="10"/>
  <c r="F107" i="10"/>
  <c r="B108" i="10"/>
  <c r="C108" i="10"/>
  <c r="D108" i="10"/>
  <c r="E108" i="10"/>
  <c r="F108" i="10"/>
  <c r="B109" i="10"/>
  <c r="C109" i="10"/>
  <c r="D109" i="10"/>
  <c r="E109" i="10"/>
  <c r="F109" i="10"/>
  <c r="B110" i="10"/>
  <c r="C110" i="10"/>
  <c r="D110" i="10"/>
  <c r="E110" i="10"/>
  <c r="F110" i="10"/>
  <c r="B111" i="10"/>
  <c r="C111" i="10"/>
  <c r="D111" i="10"/>
  <c r="E111" i="10"/>
  <c r="F111" i="10"/>
  <c r="B112" i="10"/>
  <c r="C112" i="10"/>
  <c r="D112" i="10"/>
  <c r="E112" i="10"/>
  <c r="F112" i="10"/>
  <c r="B113" i="10"/>
  <c r="C113" i="10"/>
  <c r="D113" i="10"/>
  <c r="E113" i="10"/>
  <c r="F113" i="10"/>
  <c r="B114" i="10"/>
  <c r="C114" i="10"/>
  <c r="D114" i="10"/>
  <c r="E114" i="10"/>
  <c r="F114" i="10"/>
  <c r="B115" i="10"/>
  <c r="C115" i="10"/>
  <c r="D115" i="10"/>
  <c r="E115" i="10"/>
  <c r="F115" i="10"/>
  <c r="B116" i="10"/>
  <c r="C116" i="10"/>
  <c r="D116" i="10"/>
  <c r="E116" i="10"/>
  <c r="F116" i="10"/>
  <c r="B117" i="10"/>
  <c r="C117" i="10"/>
  <c r="D117" i="10"/>
  <c r="E117" i="10"/>
  <c r="F117" i="10"/>
  <c r="B118" i="10"/>
  <c r="C118" i="10"/>
  <c r="D118" i="10"/>
  <c r="E118" i="10"/>
  <c r="F118" i="10"/>
  <c r="B119" i="10"/>
  <c r="C119" i="10"/>
  <c r="D119" i="10"/>
  <c r="E119" i="10"/>
  <c r="F119" i="10"/>
  <c r="B120" i="10"/>
  <c r="C120" i="10"/>
  <c r="D120" i="10"/>
  <c r="E120" i="10"/>
  <c r="F120" i="10"/>
  <c r="B121" i="10"/>
  <c r="C121" i="10"/>
  <c r="D121" i="10"/>
  <c r="E121" i="10"/>
  <c r="F121" i="10"/>
  <c r="B122" i="10"/>
  <c r="C122" i="10"/>
  <c r="D122" i="10"/>
  <c r="E122" i="10"/>
  <c r="F122" i="10"/>
  <c r="B123" i="10"/>
  <c r="C123" i="10"/>
  <c r="D123" i="10"/>
  <c r="E123" i="10"/>
  <c r="F123" i="10"/>
  <c r="B124" i="10"/>
  <c r="C124" i="10"/>
  <c r="D124" i="10"/>
  <c r="E124" i="10"/>
  <c r="F124" i="10"/>
  <c r="B125" i="10"/>
  <c r="C125" i="10"/>
  <c r="D125" i="10"/>
  <c r="E125" i="10"/>
  <c r="F125" i="10"/>
  <c r="B126" i="10"/>
  <c r="C126" i="10"/>
  <c r="D126" i="10"/>
  <c r="E126" i="10"/>
  <c r="F126" i="10"/>
  <c r="B127" i="10"/>
  <c r="C127" i="10"/>
  <c r="D127" i="10"/>
  <c r="E127" i="10"/>
  <c r="F127" i="10"/>
  <c r="B128" i="10"/>
  <c r="C128" i="10"/>
  <c r="D128" i="10"/>
  <c r="E128" i="10"/>
  <c r="F128" i="10"/>
  <c r="B129" i="10"/>
  <c r="C129" i="10"/>
  <c r="D129" i="10"/>
  <c r="E129" i="10"/>
  <c r="F129" i="10"/>
  <c r="B130" i="10"/>
  <c r="C130" i="10"/>
  <c r="D130" i="10"/>
  <c r="E130" i="10"/>
  <c r="F130" i="10"/>
  <c r="B131" i="10"/>
  <c r="C131" i="10"/>
  <c r="D131" i="10"/>
  <c r="E131" i="10"/>
  <c r="F131" i="10"/>
  <c r="B132" i="10"/>
  <c r="C132" i="10"/>
  <c r="D132" i="10"/>
  <c r="E132" i="10"/>
  <c r="F132" i="10"/>
  <c r="B133" i="10"/>
  <c r="C133" i="10"/>
  <c r="D133" i="10"/>
  <c r="E133" i="10"/>
  <c r="F133" i="10"/>
  <c r="B134" i="10"/>
  <c r="C134" i="10"/>
  <c r="D134" i="10"/>
  <c r="E134" i="10"/>
  <c r="F134" i="10"/>
  <c r="B135" i="10"/>
  <c r="C135" i="10"/>
  <c r="D135" i="10"/>
  <c r="E135" i="10"/>
  <c r="F135" i="10"/>
  <c r="B136" i="10"/>
  <c r="C136" i="10"/>
  <c r="D136" i="10"/>
  <c r="E136" i="10"/>
  <c r="F136" i="10"/>
  <c r="B137" i="10"/>
  <c r="C137" i="10"/>
  <c r="D137" i="10"/>
  <c r="E137" i="10"/>
  <c r="F137" i="10"/>
  <c r="B138" i="10"/>
  <c r="C138" i="10"/>
  <c r="D138" i="10"/>
  <c r="E138" i="10"/>
  <c r="F138" i="10"/>
  <c r="B139" i="10"/>
  <c r="C139" i="10"/>
  <c r="D139" i="10"/>
  <c r="E139" i="10"/>
  <c r="F139" i="10"/>
  <c r="B140" i="10"/>
  <c r="C140" i="10"/>
  <c r="D140" i="10"/>
  <c r="E140" i="10"/>
  <c r="F140" i="10"/>
  <c r="B141" i="10"/>
  <c r="C141" i="10"/>
  <c r="D141" i="10"/>
  <c r="E141" i="10"/>
  <c r="F141" i="10"/>
  <c r="B142" i="10"/>
  <c r="C142" i="10"/>
  <c r="D142" i="10"/>
  <c r="E142" i="10"/>
  <c r="F142" i="10"/>
  <c r="B143" i="10"/>
  <c r="C143" i="10"/>
  <c r="D143" i="10"/>
  <c r="E143" i="10"/>
  <c r="F143" i="10"/>
  <c r="B144" i="10"/>
  <c r="C144" i="10"/>
  <c r="D144" i="10"/>
  <c r="E144" i="10"/>
  <c r="F144" i="10"/>
  <c r="B145" i="10"/>
  <c r="C145" i="10"/>
  <c r="D145" i="10"/>
  <c r="E145" i="10"/>
  <c r="F145" i="10"/>
  <c r="B146" i="10"/>
  <c r="C146" i="10"/>
  <c r="D146" i="10"/>
  <c r="E146" i="10"/>
  <c r="F146" i="10"/>
  <c r="B147" i="10"/>
  <c r="C147" i="10"/>
  <c r="D147" i="10"/>
  <c r="E147" i="10"/>
  <c r="F147" i="10"/>
  <c r="B148" i="10"/>
  <c r="C148" i="10"/>
  <c r="D148" i="10"/>
  <c r="E148" i="10"/>
  <c r="F148" i="10"/>
  <c r="B149" i="10"/>
  <c r="C149" i="10"/>
  <c r="D149" i="10"/>
  <c r="E149" i="10"/>
  <c r="F149" i="10"/>
  <c r="B150" i="10"/>
  <c r="C150" i="10"/>
  <c r="D150" i="10"/>
  <c r="E150" i="10"/>
  <c r="F150" i="10"/>
  <c r="B151" i="10"/>
  <c r="C151" i="10"/>
  <c r="D151" i="10"/>
  <c r="E151" i="10"/>
  <c r="F151" i="10"/>
  <c r="B152" i="10"/>
  <c r="C152" i="10"/>
  <c r="D152" i="10"/>
  <c r="E152" i="10"/>
  <c r="F152" i="10"/>
  <c r="B153" i="10"/>
  <c r="C153" i="10"/>
  <c r="D153" i="10"/>
  <c r="E153" i="10"/>
  <c r="F153" i="10"/>
  <c r="B154" i="10"/>
  <c r="C154" i="10"/>
  <c r="D154" i="10"/>
  <c r="E154" i="10"/>
  <c r="F154" i="10"/>
  <c r="B155" i="10"/>
  <c r="C155" i="10"/>
  <c r="D155" i="10"/>
  <c r="E155" i="10"/>
  <c r="F155" i="10"/>
  <c r="B156" i="10"/>
  <c r="C156" i="10"/>
  <c r="D156" i="10"/>
  <c r="E156" i="10"/>
  <c r="F156" i="10"/>
  <c r="B157" i="10"/>
  <c r="C157" i="10"/>
  <c r="D157" i="10"/>
  <c r="E157" i="10"/>
  <c r="F157" i="10"/>
  <c r="B158" i="10"/>
  <c r="C158" i="10"/>
  <c r="D158" i="10"/>
  <c r="E158" i="10"/>
  <c r="F158" i="10"/>
  <c r="B159" i="10"/>
  <c r="C159" i="10"/>
  <c r="D159" i="10"/>
  <c r="E159" i="10"/>
  <c r="F159" i="10"/>
  <c r="B160" i="10"/>
  <c r="C160" i="10"/>
  <c r="D160" i="10"/>
  <c r="E160" i="10"/>
  <c r="F160" i="10"/>
  <c r="B161" i="10"/>
  <c r="C161" i="10"/>
  <c r="D161" i="10"/>
  <c r="E161" i="10"/>
  <c r="F161" i="10"/>
  <c r="B162" i="10"/>
  <c r="C162" i="10"/>
  <c r="D162" i="10"/>
  <c r="E162" i="10"/>
  <c r="F162" i="10"/>
  <c r="B163" i="10"/>
  <c r="C163" i="10"/>
  <c r="D163" i="10"/>
  <c r="E163" i="10"/>
  <c r="F163" i="10"/>
  <c r="B164" i="10"/>
  <c r="C164" i="10"/>
  <c r="D164" i="10"/>
  <c r="E164" i="10"/>
  <c r="F164" i="10"/>
  <c r="B165" i="10"/>
  <c r="C165" i="10"/>
  <c r="D165" i="10"/>
  <c r="E165" i="10"/>
  <c r="F165" i="10"/>
  <c r="B166" i="10"/>
  <c r="C166" i="10"/>
  <c r="D166" i="10"/>
  <c r="E166" i="10"/>
  <c r="F166" i="10"/>
  <c r="B167" i="10"/>
  <c r="C167" i="10"/>
  <c r="D167" i="10"/>
  <c r="E167" i="10"/>
  <c r="F167" i="10"/>
  <c r="B168" i="10"/>
  <c r="C168" i="10"/>
  <c r="D168" i="10"/>
  <c r="E168" i="10"/>
  <c r="F168" i="10"/>
  <c r="B169" i="10"/>
  <c r="C169" i="10"/>
  <c r="D169" i="10"/>
  <c r="E169" i="10"/>
  <c r="F169" i="10"/>
  <c r="B170" i="10"/>
  <c r="C170" i="10"/>
  <c r="D170" i="10"/>
  <c r="E170" i="10"/>
  <c r="F170" i="10"/>
  <c r="B171" i="10"/>
  <c r="C171" i="10"/>
  <c r="D171" i="10"/>
  <c r="E171" i="10"/>
  <c r="F171" i="10"/>
  <c r="B172" i="10"/>
  <c r="C172" i="10"/>
  <c r="D172" i="10"/>
  <c r="E172" i="10"/>
  <c r="F172" i="10"/>
  <c r="B173" i="10"/>
  <c r="C173" i="10"/>
  <c r="D173" i="10"/>
  <c r="E173" i="10"/>
  <c r="F173" i="10"/>
  <c r="B174" i="10"/>
  <c r="C174" i="10"/>
  <c r="D174" i="10"/>
  <c r="E174" i="10"/>
  <c r="F174" i="10"/>
  <c r="B175" i="10"/>
  <c r="C175" i="10"/>
  <c r="D175" i="10"/>
  <c r="E175" i="10"/>
  <c r="F175" i="10"/>
  <c r="B176" i="10"/>
  <c r="C176" i="10"/>
  <c r="D176" i="10"/>
  <c r="E176" i="10"/>
  <c r="F176" i="10"/>
  <c r="B177" i="10"/>
  <c r="C177" i="10"/>
  <c r="D177" i="10"/>
  <c r="E177" i="10"/>
  <c r="F177" i="10"/>
  <c r="B178" i="10"/>
  <c r="C178" i="10"/>
  <c r="D178" i="10"/>
  <c r="E178" i="10"/>
  <c r="F178" i="10"/>
  <c r="B179" i="10"/>
  <c r="C179" i="10"/>
  <c r="D179" i="10"/>
  <c r="E179" i="10"/>
  <c r="F179" i="10"/>
  <c r="B180" i="10"/>
  <c r="C180" i="10"/>
  <c r="D180" i="10"/>
  <c r="E180" i="10"/>
  <c r="F180" i="10"/>
  <c r="B181" i="10"/>
  <c r="C181" i="10"/>
  <c r="D181" i="10"/>
  <c r="E181" i="10"/>
  <c r="F181" i="10"/>
  <c r="B182" i="10"/>
  <c r="C182" i="10"/>
  <c r="D182" i="10"/>
  <c r="E182" i="10"/>
  <c r="F182" i="10"/>
  <c r="B183" i="10"/>
  <c r="C183" i="10"/>
  <c r="D183" i="10"/>
  <c r="E183" i="10"/>
  <c r="F183" i="10"/>
  <c r="B184" i="10"/>
  <c r="C184" i="10"/>
  <c r="D184" i="10"/>
  <c r="E184" i="10"/>
  <c r="F184" i="10"/>
  <c r="B185" i="10"/>
  <c r="C185" i="10"/>
  <c r="D185" i="10"/>
  <c r="E185" i="10"/>
  <c r="F185" i="10"/>
  <c r="B186" i="10"/>
  <c r="C186" i="10"/>
  <c r="D186" i="10"/>
  <c r="E186" i="10"/>
  <c r="F186" i="10"/>
  <c r="B187" i="10"/>
  <c r="C187" i="10"/>
  <c r="D187" i="10"/>
  <c r="E187" i="10"/>
  <c r="F187" i="10"/>
  <c r="B188" i="10"/>
  <c r="C188" i="10"/>
  <c r="D188" i="10"/>
  <c r="E188" i="10"/>
  <c r="F188" i="10"/>
  <c r="B189" i="10"/>
  <c r="C189" i="10"/>
  <c r="D189" i="10"/>
  <c r="E189" i="10"/>
  <c r="F189" i="10"/>
  <c r="B190" i="10"/>
  <c r="C190" i="10"/>
  <c r="D190" i="10"/>
  <c r="E190" i="10"/>
  <c r="F190" i="10"/>
  <c r="B191" i="10"/>
  <c r="C191" i="10"/>
  <c r="D191" i="10"/>
  <c r="E191" i="10"/>
  <c r="F191" i="10"/>
  <c r="B192" i="10"/>
  <c r="C192" i="10"/>
  <c r="D192" i="10"/>
  <c r="E192" i="10"/>
  <c r="F192" i="10"/>
  <c r="B193" i="10"/>
  <c r="C193" i="10"/>
  <c r="D193" i="10"/>
  <c r="E193" i="10"/>
  <c r="F193" i="10"/>
  <c r="B194" i="10"/>
  <c r="C194" i="10"/>
  <c r="D194" i="10"/>
  <c r="E194" i="10"/>
  <c r="F194" i="10"/>
  <c r="B195" i="10"/>
  <c r="C195" i="10"/>
  <c r="D195" i="10"/>
  <c r="E195" i="10"/>
  <c r="F195" i="10"/>
  <c r="B196" i="10"/>
  <c r="C196" i="10"/>
  <c r="D196" i="10"/>
  <c r="E196" i="10"/>
  <c r="F196" i="10"/>
  <c r="B197" i="10"/>
  <c r="C197" i="10"/>
  <c r="D197" i="10"/>
  <c r="E197" i="10"/>
  <c r="F197" i="10"/>
  <c r="B198" i="10"/>
  <c r="C198" i="10"/>
  <c r="D198" i="10"/>
  <c r="E198" i="10"/>
  <c r="F198" i="10"/>
  <c r="B199" i="10"/>
  <c r="C199" i="10"/>
  <c r="D199" i="10"/>
  <c r="E199" i="10"/>
  <c r="F199" i="10"/>
  <c r="B200" i="10"/>
  <c r="C200" i="10"/>
  <c r="D200" i="10"/>
  <c r="E200" i="10"/>
  <c r="F200" i="10"/>
  <c r="B201" i="10"/>
  <c r="C201" i="10"/>
  <c r="D201" i="10"/>
  <c r="E201" i="10"/>
  <c r="F201" i="10"/>
  <c r="B202" i="10"/>
  <c r="C202" i="10"/>
  <c r="D202" i="10"/>
  <c r="E202" i="10"/>
  <c r="F202" i="10"/>
  <c r="B203" i="10"/>
  <c r="C203" i="10"/>
  <c r="D203" i="10"/>
  <c r="E203" i="10"/>
  <c r="F203" i="10"/>
  <c r="B204" i="10"/>
  <c r="C204" i="10"/>
  <c r="D204" i="10"/>
  <c r="E204" i="10"/>
  <c r="F204" i="10"/>
  <c r="B205" i="10"/>
  <c r="C205" i="10"/>
  <c r="D205" i="10"/>
  <c r="E205" i="10"/>
  <c r="F205" i="10"/>
  <c r="B206" i="10"/>
  <c r="C206" i="10"/>
  <c r="D206" i="10"/>
  <c r="E206" i="10"/>
  <c r="F206" i="10"/>
  <c r="B207" i="10"/>
  <c r="C207" i="10"/>
  <c r="D207" i="10"/>
  <c r="E207" i="10"/>
  <c r="F207" i="10"/>
  <c r="B208" i="10"/>
  <c r="C208" i="10"/>
  <c r="D208" i="10"/>
  <c r="E208" i="10"/>
  <c r="F208" i="10"/>
  <c r="B209" i="10"/>
  <c r="C209" i="10"/>
  <c r="D209" i="10"/>
  <c r="E209" i="10"/>
  <c r="F209" i="10"/>
  <c r="B210" i="10"/>
  <c r="C210" i="10"/>
  <c r="D210" i="10"/>
  <c r="E210" i="10"/>
  <c r="F210" i="10"/>
  <c r="B211" i="10"/>
  <c r="C211" i="10"/>
  <c r="D211" i="10"/>
  <c r="E211" i="10"/>
  <c r="F211" i="10"/>
  <c r="B212" i="10"/>
  <c r="C212" i="10"/>
  <c r="D212" i="10"/>
  <c r="E212" i="10"/>
  <c r="F212" i="10"/>
  <c r="B213" i="10"/>
  <c r="C213" i="10"/>
  <c r="D213" i="10"/>
  <c r="E213" i="10"/>
  <c r="F213" i="10"/>
  <c r="B214" i="10"/>
  <c r="C214" i="10"/>
  <c r="D214" i="10"/>
  <c r="E214" i="10"/>
  <c r="F214" i="10"/>
  <c r="B215" i="10"/>
  <c r="C215" i="10"/>
  <c r="D215" i="10"/>
  <c r="E215" i="10"/>
  <c r="F215" i="10"/>
  <c r="B216" i="10"/>
  <c r="C216" i="10"/>
  <c r="D216" i="10"/>
  <c r="E216" i="10"/>
  <c r="F216" i="10"/>
  <c r="B217" i="10"/>
  <c r="C217" i="10"/>
  <c r="D217" i="10"/>
  <c r="E217" i="10"/>
  <c r="F217" i="10"/>
  <c r="B218" i="10"/>
  <c r="C218" i="10"/>
  <c r="D218" i="10"/>
  <c r="E218" i="10"/>
  <c r="F218" i="10"/>
  <c r="B219" i="10"/>
  <c r="C219" i="10"/>
  <c r="D219" i="10"/>
  <c r="E219" i="10"/>
  <c r="F219" i="10"/>
  <c r="B220" i="10"/>
  <c r="C220" i="10"/>
  <c r="D220" i="10"/>
  <c r="E220" i="10"/>
  <c r="F220" i="10"/>
  <c r="B221" i="10"/>
  <c r="C221" i="10"/>
  <c r="D221" i="10"/>
  <c r="E221" i="10"/>
  <c r="F221" i="10"/>
  <c r="B222" i="10"/>
  <c r="C222" i="10"/>
  <c r="D222" i="10"/>
  <c r="E222" i="10"/>
  <c r="F222" i="10"/>
  <c r="B223" i="10"/>
  <c r="C223" i="10"/>
  <c r="D223" i="10"/>
  <c r="E223" i="10"/>
  <c r="F223" i="10"/>
  <c r="B224" i="10"/>
  <c r="C224" i="10"/>
  <c r="D224" i="10"/>
  <c r="E224" i="10"/>
  <c r="F224" i="10"/>
  <c r="B225" i="10"/>
  <c r="C225" i="10"/>
  <c r="D225" i="10"/>
  <c r="E225" i="10"/>
  <c r="F225" i="10"/>
  <c r="B226" i="10"/>
  <c r="C226" i="10"/>
  <c r="D226" i="10"/>
  <c r="E226" i="10"/>
  <c r="F226" i="10"/>
  <c r="B227" i="10"/>
  <c r="C227" i="10"/>
  <c r="D227" i="10"/>
  <c r="E227" i="10"/>
  <c r="F227" i="10"/>
  <c r="B228" i="10"/>
  <c r="C228" i="10"/>
  <c r="D228" i="10"/>
  <c r="E228" i="10"/>
  <c r="F228" i="10"/>
  <c r="B229" i="10"/>
  <c r="C229" i="10"/>
  <c r="D229" i="10"/>
  <c r="E229" i="10"/>
  <c r="F229" i="10"/>
  <c r="B230" i="10"/>
  <c r="C230" i="10"/>
  <c r="D230" i="10"/>
  <c r="E230" i="10"/>
  <c r="F230" i="10"/>
  <c r="B231" i="10"/>
  <c r="C231" i="10"/>
  <c r="D231" i="10"/>
  <c r="E231" i="10"/>
  <c r="F231" i="10"/>
  <c r="B232" i="10"/>
  <c r="C232" i="10"/>
  <c r="D232" i="10"/>
  <c r="E232" i="10"/>
  <c r="F232" i="10"/>
  <c r="B233" i="10"/>
  <c r="C233" i="10"/>
  <c r="D233" i="10"/>
  <c r="E233" i="10"/>
  <c r="F233" i="10"/>
  <c r="B234" i="10"/>
  <c r="C234" i="10"/>
  <c r="D234" i="10"/>
  <c r="E234" i="10"/>
  <c r="F234" i="10"/>
  <c r="B235" i="10"/>
  <c r="C235" i="10"/>
  <c r="D235" i="10"/>
  <c r="E235" i="10"/>
  <c r="F235" i="10"/>
  <c r="B236" i="10"/>
  <c r="C236" i="10"/>
  <c r="D236" i="10"/>
  <c r="E236" i="10"/>
  <c r="F236" i="10"/>
  <c r="B237" i="10"/>
  <c r="C237" i="10"/>
  <c r="D237" i="10"/>
  <c r="E237" i="10"/>
  <c r="F237" i="10"/>
  <c r="B238" i="10"/>
  <c r="C238" i="10"/>
  <c r="D238" i="10"/>
  <c r="E238" i="10"/>
  <c r="F238" i="10"/>
  <c r="B239" i="10"/>
  <c r="C239" i="10"/>
  <c r="D239" i="10"/>
  <c r="E239" i="10"/>
  <c r="F239" i="10"/>
  <c r="B240" i="10"/>
  <c r="C240" i="10"/>
  <c r="D240" i="10"/>
  <c r="E240" i="10"/>
  <c r="F240" i="10"/>
  <c r="B241" i="10"/>
  <c r="C241" i="10"/>
  <c r="D241" i="10"/>
  <c r="E241" i="10"/>
  <c r="F241" i="10"/>
  <c r="B242" i="10"/>
  <c r="C242" i="10"/>
  <c r="D242" i="10"/>
  <c r="E242" i="10"/>
  <c r="F242" i="10"/>
  <c r="B243" i="10"/>
  <c r="C243" i="10"/>
  <c r="D243" i="10"/>
  <c r="E243" i="10"/>
  <c r="F243" i="10"/>
  <c r="B244" i="10"/>
  <c r="C244" i="10"/>
  <c r="D244" i="10"/>
  <c r="E244" i="10"/>
  <c r="F244" i="10"/>
  <c r="B245" i="10"/>
  <c r="C245" i="10"/>
  <c r="D245" i="10"/>
  <c r="E245" i="10"/>
  <c r="F245" i="10"/>
  <c r="B246" i="10"/>
  <c r="C246" i="10"/>
  <c r="D246" i="10"/>
  <c r="E246" i="10"/>
  <c r="F246" i="10"/>
  <c r="B247" i="10"/>
  <c r="C247" i="10"/>
  <c r="D247" i="10"/>
  <c r="E247" i="10"/>
  <c r="F247" i="10"/>
  <c r="B248" i="10"/>
  <c r="C248" i="10"/>
  <c r="D248" i="10"/>
  <c r="E248" i="10"/>
  <c r="F248" i="10"/>
  <c r="B249" i="10"/>
  <c r="C249" i="10"/>
  <c r="D249" i="10"/>
  <c r="E249" i="10"/>
  <c r="F249" i="10"/>
  <c r="B250" i="10"/>
  <c r="C250" i="10"/>
  <c r="D250" i="10"/>
  <c r="E250" i="10"/>
  <c r="F250" i="10"/>
  <c r="B251" i="10"/>
  <c r="C251" i="10"/>
  <c r="D251" i="10"/>
  <c r="E251" i="10"/>
  <c r="F251" i="10"/>
  <c r="B252" i="10"/>
  <c r="C252" i="10"/>
  <c r="D252" i="10"/>
  <c r="E252" i="10"/>
  <c r="F252" i="10"/>
  <c r="B253" i="10"/>
  <c r="C253" i="10"/>
  <c r="D253" i="10"/>
  <c r="E253" i="10"/>
  <c r="F253" i="10"/>
  <c r="B254" i="10"/>
  <c r="C254" i="10"/>
  <c r="D254" i="10"/>
  <c r="E254" i="10"/>
  <c r="F254" i="10"/>
  <c r="B255" i="10"/>
  <c r="C255" i="10"/>
  <c r="D255" i="10"/>
  <c r="E255" i="10"/>
  <c r="F255" i="10"/>
  <c r="B256" i="10"/>
  <c r="C256" i="10"/>
  <c r="D256" i="10"/>
  <c r="E256" i="10"/>
  <c r="F256" i="10"/>
  <c r="B257" i="10"/>
  <c r="C257" i="10"/>
  <c r="D257" i="10"/>
  <c r="E257" i="10"/>
  <c r="F257" i="10"/>
  <c r="B258" i="10"/>
  <c r="C258" i="10"/>
  <c r="D258" i="10"/>
  <c r="E258" i="10"/>
  <c r="F258" i="10"/>
  <c r="B259" i="10"/>
  <c r="C259" i="10"/>
  <c r="D259" i="10"/>
  <c r="E259" i="10"/>
  <c r="F259" i="10"/>
  <c r="B260" i="10"/>
  <c r="C260" i="10"/>
  <c r="D260" i="10"/>
  <c r="E260" i="10"/>
  <c r="F260" i="10"/>
  <c r="B261" i="10"/>
  <c r="C261" i="10"/>
  <c r="D261" i="10"/>
  <c r="E261" i="10"/>
  <c r="F261" i="10"/>
  <c r="B262" i="10"/>
  <c r="C262" i="10"/>
  <c r="D262" i="10"/>
  <c r="E262" i="10"/>
  <c r="F262" i="10"/>
  <c r="B263" i="10"/>
  <c r="C263" i="10"/>
  <c r="D263" i="10"/>
  <c r="E263" i="10"/>
  <c r="F263" i="10"/>
  <c r="B264" i="10"/>
  <c r="C264" i="10"/>
  <c r="D264" i="10"/>
  <c r="E264" i="10"/>
  <c r="F264" i="10"/>
  <c r="B265" i="10"/>
  <c r="C265" i="10"/>
  <c r="D265" i="10"/>
  <c r="E265" i="10"/>
  <c r="F265" i="10"/>
  <c r="B266" i="10"/>
  <c r="C266" i="10"/>
  <c r="D266" i="10"/>
  <c r="E266" i="10"/>
  <c r="F266" i="10"/>
  <c r="B267" i="10"/>
  <c r="C267" i="10"/>
  <c r="D267" i="10"/>
  <c r="E267" i="10"/>
  <c r="F267" i="10"/>
  <c r="B268" i="10"/>
  <c r="C268" i="10"/>
  <c r="D268" i="10"/>
  <c r="E268" i="10"/>
  <c r="F268" i="10"/>
  <c r="B269" i="10"/>
  <c r="C269" i="10"/>
  <c r="D269" i="10"/>
  <c r="E269" i="10"/>
  <c r="F269" i="10"/>
  <c r="B270" i="10"/>
  <c r="C270" i="10"/>
  <c r="D270" i="10"/>
  <c r="E270" i="10"/>
  <c r="F270" i="10"/>
  <c r="B271" i="10"/>
  <c r="C271" i="10"/>
  <c r="D271" i="10"/>
  <c r="E271" i="10"/>
  <c r="F271" i="10"/>
  <c r="B272" i="10"/>
  <c r="C272" i="10"/>
  <c r="D272" i="10"/>
  <c r="E272" i="10"/>
  <c r="F272" i="10"/>
  <c r="B273" i="10"/>
  <c r="C273" i="10"/>
  <c r="D273" i="10"/>
  <c r="E273" i="10"/>
  <c r="F273" i="10"/>
  <c r="B274" i="10"/>
  <c r="C274" i="10"/>
  <c r="D274" i="10"/>
  <c r="E274" i="10"/>
  <c r="F274" i="10"/>
  <c r="B275" i="10"/>
  <c r="C275" i="10"/>
  <c r="D275" i="10"/>
  <c r="E275" i="10"/>
  <c r="F275" i="10"/>
  <c r="B276" i="10"/>
  <c r="C276" i="10"/>
  <c r="D276" i="10"/>
  <c r="E276" i="10"/>
  <c r="F276" i="10"/>
  <c r="B277" i="10"/>
  <c r="C277" i="10"/>
  <c r="D277" i="10"/>
  <c r="E277" i="10"/>
  <c r="F277" i="10"/>
  <c r="B278" i="10"/>
  <c r="C278" i="10"/>
  <c r="D278" i="10"/>
  <c r="E278" i="10"/>
  <c r="F278" i="10"/>
  <c r="B279" i="10"/>
  <c r="C279" i="10"/>
  <c r="D279" i="10"/>
  <c r="E279" i="10"/>
  <c r="F279" i="10"/>
  <c r="B280" i="10"/>
  <c r="C280" i="10"/>
  <c r="D280" i="10"/>
  <c r="E280" i="10"/>
  <c r="F280" i="10"/>
  <c r="B281" i="10"/>
  <c r="C281" i="10"/>
  <c r="D281" i="10"/>
  <c r="E281" i="10"/>
  <c r="F281" i="10"/>
  <c r="B282" i="10"/>
  <c r="C282" i="10"/>
  <c r="D282" i="10"/>
  <c r="E282" i="10"/>
  <c r="F282" i="10"/>
  <c r="B283" i="10"/>
  <c r="C283" i="10"/>
  <c r="D283" i="10"/>
  <c r="E283" i="10"/>
  <c r="F283" i="10"/>
  <c r="B284" i="10"/>
  <c r="C284" i="10"/>
  <c r="D284" i="10"/>
  <c r="E284" i="10"/>
  <c r="F284" i="10"/>
  <c r="B285" i="10"/>
  <c r="C285" i="10"/>
  <c r="D285" i="10"/>
  <c r="E285" i="10"/>
  <c r="F285" i="10"/>
  <c r="B286" i="10"/>
  <c r="C286" i="10"/>
  <c r="D286" i="10"/>
  <c r="E286" i="10"/>
  <c r="F286" i="10"/>
  <c r="B287" i="10"/>
  <c r="C287" i="10"/>
  <c r="D287" i="10"/>
  <c r="E287" i="10"/>
  <c r="F287" i="10"/>
  <c r="B288" i="10"/>
  <c r="C288" i="10"/>
  <c r="D288" i="10"/>
  <c r="E288" i="10"/>
  <c r="F288" i="10"/>
  <c r="B289" i="10"/>
  <c r="C289" i="10"/>
  <c r="D289" i="10"/>
  <c r="E289" i="10"/>
  <c r="F289" i="10"/>
  <c r="B290" i="10"/>
  <c r="C290" i="10"/>
  <c r="D290" i="10"/>
  <c r="E290" i="10"/>
  <c r="F290" i="10"/>
  <c r="B291" i="10"/>
  <c r="C291" i="10"/>
  <c r="D291" i="10"/>
  <c r="E291" i="10"/>
  <c r="F291" i="10"/>
  <c r="B292" i="10"/>
  <c r="C292" i="10"/>
  <c r="D292" i="10"/>
  <c r="E292" i="10"/>
  <c r="F292" i="10"/>
  <c r="B293" i="10"/>
  <c r="C293" i="10"/>
  <c r="D293" i="10"/>
  <c r="E293" i="10"/>
  <c r="F293" i="10"/>
  <c r="B294" i="10"/>
  <c r="C294" i="10"/>
  <c r="D294" i="10"/>
  <c r="E294" i="10"/>
  <c r="F294" i="10"/>
  <c r="B295" i="10"/>
  <c r="C295" i="10"/>
  <c r="D295" i="10"/>
  <c r="E295" i="10"/>
  <c r="F295" i="10"/>
  <c r="B296" i="10"/>
  <c r="C296" i="10"/>
  <c r="D296" i="10"/>
  <c r="E296" i="10"/>
  <c r="F296" i="10"/>
  <c r="B297" i="10"/>
  <c r="C297" i="10"/>
  <c r="D297" i="10"/>
  <c r="E297" i="10"/>
  <c r="F297" i="10"/>
  <c r="B298" i="10"/>
  <c r="C298" i="10"/>
  <c r="D298" i="10"/>
  <c r="E298" i="10"/>
  <c r="F298" i="10"/>
  <c r="B299" i="10"/>
  <c r="C299" i="10"/>
  <c r="D299" i="10"/>
  <c r="E299" i="10"/>
  <c r="F299" i="10"/>
  <c r="B300" i="10"/>
  <c r="C300" i="10"/>
  <c r="D300" i="10"/>
  <c r="E300" i="10"/>
  <c r="F300" i="10"/>
  <c r="B301" i="10"/>
  <c r="C301" i="10"/>
  <c r="D301" i="10"/>
  <c r="E301" i="10"/>
  <c r="F301" i="10"/>
  <c r="B302" i="10"/>
  <c r="C302" i="10"/>
  <c r="D302" i="10"/>
  <c r="E302" i="10"/>
  <c r="F302" i="10"/>
  <c r="B303" i="10"/>
  <c r="C303" i="10"/>
  <c r="D303" i="10"/>
  <c r="E303" i="10"/>
  <c r="F303" i="10"/>
  <c r="B304" i="10"/>
  <c r="C304" i="10"/>
  <c r="D304" i="10"/>
  <c r="E304" i="10"/>
  <c r="F304" i="10"/>
  <c r="B305" i="10"/>
  <c r="C305" i="10"/>
  <c r="D305" i="10"/>
  <c r="E305" i="10"/>
  <c r="F305" i="10"/>
  <c r="B306" i="10"/>
  <c r="C306" i="10"/>
  <c r="D306" i="10"/>
  <c r="E306" i="10"/>
  <c r="F306" i="10"/>
  <c r="B307" i="10"/>
  <c r="C307" i="10"/>
  <c r="D307" i="10"/>
  <c r="E307" i="10"/>
  <c r="F307" i="10"/>
  <c r="B308" i="10"/>
  <c r="C308" i="10"/>
  <c r="D308" i="10"/>
  <c r="E308" i="10"/>
  <c r="F308" i="10"/>
  <c r="B309" i="10"/>
  <c r="C309" i="10"/>
  <c r="D309" i="10"/>
  <c r="E309" i="10"/>
  <c r="F309" i="10"/>
  <c r="B310" i="10"/>
  <c r="C310" i="10"/>
  <c r="D310" i="10"/>
  <c r="E310" i="10"/>
  <c r="F310" i="10"/>
  <c r="B311" i="10"/>
  <c r="C311" i="10"/>
  <c r="D311" i="10"/>
  <c r="E311" i="10"/>
  <c r="F311" i="10"/>
  <c r="B312" i="10"/>
  <c r="C312" i="10"/>
  <c r="D312" i="10"/>
  <c r="E312" i="10"/>
  <c r="F312" i="10"/>
  <c r="B313" i="10"/>
  <c r="C313" i="10"/>
  <c r="D313" i="10"/>
  <c r="E313" i="10"/>
  <c r="F313" i="10"/>
  <c r="B314" i="10"/>
  <c r="C314" i="10"/>
  <c r="D314" i="10"/>
  <c r="E314" i="10"/>
  <c r="F314" i="10"/>
  <c r="B315" i="10"/>
  <c r="C315" i="10"/>
  <c r="D315" i="10"/>
  <c r="E315" i="10"/>
  <c r="F315" i="10"/>
  <c r="B316" i="10"/>
  <c r="C316" i="10"/>
  <c r="D316" i="10"/>
  <c r="E316" i="10"/>
  <c r="F316" i="10"/>
  <c r="B317" i="10"/>
  <c r="C317" i="10"/>
  <c r="D317" i="10"/>
  <c r="E317" i="10"/>
  <c r="F317" i="10"/>
  <c r="B318" i="10"/>
  <c r="C318" i="10"/>
  <c r="D318" i="10"/>
  <c r="E318" i="10"/>
  <c r="F318" i="10"/>
  <c r="B319" i="10"/>
  <c r="C319" i="10"/>
  <c r="D319" i="10"/>
  <c r="E319" i="10"/>
  <c r="F319" i="10"/>
  <c r="B320" i="10"/>
  <c r="C320" i="10"/>
  <c r="D320" i="10"/>
  <c r="E320" i="10"/>
  <c r="F320" i="10"/>
  <c r="B321" i="10"/>
  <c r="C321" i="10"/>
  <c r="D321" i="10"/>
  <c r="E321" i="10"/>
  <c r="F321" i="10"/>
  <c r="B322" i="10"/>
  <c r="C322" i="10"/>
  <c r="D322" i="10"/>
  <c r="E322" i="10"/>
  <c r="F322" i="10"/>
  <c r="B323" i="10"/>
  <c r="C323" i="10"/>
  <c r="D323" i="10"/>
  <c r="E323" i="10"/>
  <c r="F323" i="10"/>
  <c r="B324" i="10"/>
  <c r="C324" i="10"/>
  <c r="D324" i="10"/>
  <c r="E324" i="10"/>
  <c r="F324" i="10"/>
  <c r="B325" i="10"/>
  <c r="C325" i="10"/>
  <c r="D325" i="10"/>
  <c r="E325" i="10"/>
  <c r="F325" i="10"/>
  <c r="B326" i="10"/>
  <c r="C326" i="10"/>
  <c r="D326" i="10"/>
  <c r="E326" i="10"/>
  <c r="F326" i="10"/>
  <c r="B327" i="10"/>
  <c r="C327" i="10"/>
  <c r="D327" i="10"/>
  <c r="E327" i="10"/>
  <c r="F327" i="10"/>
  <c r="B328" i="10"/>
  <c r="C328" i="10"/>
  <c r="D328" i="10"/>
  <c r="E328" i="10"/>
  <c r="F328" i="10"/>
  <c r="B329" i="10"/>
  <c r="C329" i="10"/>
  <c r="D329" i="10"/>
  <c r="E329" i="10"/>
  <c r="F329" i="10"/>
  <c r="B330" i="10"/>
  <c r="C330" i="10"/>
  <c r="D330" i="10"/>
  <c r="E330" i="10"/>
  <c r="F330" i="10"/>
  <c r="B331" i="10"/>
  <c r="C331" i="10"/>
  <c r="D331" i="10"/>
  <c r="E331" i="10"/>
  <c r="F331" i="10"/>
  <c r="B332" i="10"/>
  <c r="C332" i="10"/>
  <c r="D332" i="10"/>
  <c r="E332" i="10"/>
  <c r="F332" i="10"/>
  <c r="B333" i="10"/>
  <c r="C333" i="10"/>
  <c r="D333" i="10"/>
  <c r="E333" i="10"/>
  <c r="F333" i="10"/>
  <c r="B334" i="10"/>
  <c r="C334" i="10"/>
  <c r="D334" i="10"/>
  <c r="E334" i="10"/>
  <c r="F334" i="10"/>
  <c r="B335" i="10"/>
  <c r="C335" i="10"/>
  <c r="D335" i="10"/>
  <c r="E335" i="10"/>
  <c r="F335" i="10"/>
  <c r="B336" i="10"/>
  <c r="C336" i="10"/>
  <c r="D336" i="10"/>
  <c r="E336" i="10"/>
  <c r="F336" i="10"/>
  <c r="B337" i="10"/>
  <c r="C337" i="10"/>
  <c r="D337" i="10"/>
  <c r="E337" i="10"/>
  <c r="F337" i="10"/>
  <c r="B338" i="10"/>
  <c r="C338" i="10"/>
  <c r="D338" i="10"/>
  <c r="E338" i="10"/>
  <c r="F338" i="10"/>
  <c r="B339" i="10"/>
  <c r="C339" i="10"/>
  <c r="D339" i="10"/>
  <c r="E339" i="10"/>
  <c r="F339" i="10"/>
  <c r="B340" i="10"/>
  <c r="C340" i="10"/>
  <c r="D340" i="10"/>
  <c r="E340" i="10"/>
  <c r="F340" i="10"/>
  <c r="B341" i="10"/>
  <c r="C341" i="10"/>
  <c r="D341" i="10"/>
  <c r="E341" i="10"/>
  <c r="F341" i="10"/>
  <c r="B342" i="10"/>
  <c r="C342" i="10"/>
  <c r="D342" i="10"/>
  <c r="E342" i="10"/>
  <c r="F342" i="10"/>
  <c r="B343" i="10"/>
  <c r="C343" i="10"/>
  <c r="D343" i="10"/>
  <c r="E343" i="10"/>
  <c r="F343" i="10"/>
  <c r="B344" i="10"/>
  <c r="C344" i="10"/>
  <c r="D344" i="10"/>
  <c r="E344" i="10"/>
  <c r="F344" i="10"/>
  <c r="B345" i="10"/>
  <c r="C345" i="10"/>
  <c r="D345" i="10"/>
  <c r="E345" i="10"/>
  <c r="F345" i="10"/>
  <c r="B346" i="10"/>
  <c r="C346" i="10"/>
  <c r="D346" i="10"/>
  <c r="E346" i="10"/>
  <c r="F346" i="10"/>
  <c r="B347" i="10"/>
  <c r="C347" i="10"/>
  <c r="D347" i="10"/>
  <c r="E347" i="10"/>
  <c r="F347" i="10"/>
  <c r="B348" i="10"/>
  <c r="C348" i="10"/>
  <c r="D348" i="10"/>
  <c r="E348" i="10"/>
  <c r="F348" i="10"/>
  <c r="B349" i="10"/>
  <c r="C349" i="10"/>
  <c r="D349" i="10"/>
  <c r="E349" i="10"/>
  <c r="F349" i="10"/>
  <c r="B350" i="10"/>
  <c r="C350" i="10"/>
  <c r="D350" i="10"/>
  <c r="E350" i="10"/>
  <c r="F350" i="10"/>
  <c r="B351" i="10"/>
  <c r="C351" i="10"/>
  <c r="D351" i="10"/>
  <c r="E351" i="10"/>
  <c r="F351" i="10"/>
  <c r="B352" i="10"/>
  <c r="C352" i="10"/>
  <c r="D352" i="10"/>
  <c r="E352" i="10"/>
  <c r="F352" i="10"/>
  <c r="B353" i="10"/>
  <c r="C353" i="10"/>
  <c r="D353" i="10"/>
  <c r="E353" i="10"/>
  <c r="F353" i="10"/>
  <c r="B354" i="10"/>
  <c r="C354" i="10"/>
  <c r="D354" i="10"/>
  <c r="E354" i="10"/>
  <c r="F354" i="10"/>
  <c r="B355" i="10"/>
  <c r="C355" i="10"/>
  <c r="D355" i="10"/>
  <c r="E355" i="10"/>
  <c r="F355" i="10"/>
  <c r="B356" i="10"/>
  <c r="C356" i="10"/>
  <c r="D356" i="10"/>
  <c r="E356" i="10"/>
  <c r="F356" i="10"/>
  <c r="B357" i="10"/>
  <c r="C357" i="10"/>
  <c r="D357" i="10"/>
  <c r="E357" i="10"/>
  <c r="F357" i="10"/>
  <c r="B358" i="10"/>
  <c r="C358" i="10"/>
  <c r="D358" i="10"/>
  <c r="E358" i="10"/>
  <c r="F358" i="10"/>
  <c r="B359" i="10"/>
  <c r="C359" i="10"/>
  <c r="D359" i="10"/>
  <c r="E359" i="10"/>
  <c r="F359" i="10"/>
  <c r="B360" i="10"/>
  <c r="C360" i="10"/>
  <c r="D360" i="10"/>
  <c r="E360" i="10"/>
  <c r="F360" i="10"/>
  <c r="B361" i="10"/>
  <c r="C361" i="10"/>
  <c r="D361" i="10"/>
  <c r="E361" i="10"/>
  <c r="F361" i="10"/>
  <c r="B362" i="10"/>
  <c r="C362" i="10"/>
  <c r="D362" i="10"/>
  <c r="E362" i="10"/>
  <c r="F362" i="10"/>
  <c r="B363" i="10"/>
  <c r="C363" i="10"/>
  <c r="D363" i="10"/>
  <c r="E363" i="10"/>
  <c r="F363" i="10"/>
  <c r="B364" i="10"/>
  <c r="C364" i="10"/>
  <c r="D364" i="10"/>
  <c r="E364" i="10"/>
  <c r="F364" i="10"/>
  <c r="B365" i="10"/>
  <c r="C365" i="10"/>
  <c r="D365" i="10"/>
  <c r="E365" i="10"/>
  <c r="F365" i="10"/>
  <c r="B366" i="10"/>
  <c r="C366" i="10"/>
  <c r="D366" i="10"/>
  <c r="E366" i="10"/>
  <c r="F366" i="10"/>
  <c r="B3" i="10"/>
  <c r="C3" i="10"/>
  <c r="D3" i="10"/>
  <c r="E3" i="10"/>
  <c r="F3" i="10"/>
  <c r="B4" i="10"/>
  <c r="C4" i="10"/>
  <c r="D4" i="10"/>
  <c r="E4" i="10"/>
  <c r="F4" i="10"/>
  <c r="C2" i="10"/>
  <c r="D2" i="10"/>
  <c r="E2" i="10"/>
  <c r="F2" i="10"/>
  <c r="B2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4" i="10"/>
  <c r="A3" i="10"/>
  <c r="A2" i="10"/>
  <c r="D169" i="5" a="1"/>
  <c r="D169" i="5"/>
  <c r="D17" i="5" a="1"/>
  <c r="D17" i="5"/>
  <c r="D18" i="5" a="1"/>
  <c r="D18" i="5"/>
  <c r="D19" i="5" a="1"/>
  <c r="D19" i="5"/>
  <c r="D20" i="5" a="1"/>
  <c r="D20" i="5"/>
  <c r="D21" i="5" a="1"/>
  <c r="D21" i="5"/>
  <c r="D22" i="5" a="1"/>
  <c r="D22" i="5"/>
  <c r="D23" i="5" a="1"/>
  <c r="D23" i="5"/>
  <c r="D24" i="5" a="1"/>
  <c r="D24" i="5"/>
  <c r="D25" i="5" a="1"/>
  <c r="D25" i="5"/>
  <c r="D26" i="5" a="1"/>
  <c r="D26" i="5"/>
  <c r="D27" i="5" a="1"/>
  <c r="D27" i="5"/>
  <c r="D28" i="5" a="1"/>
  <c r="D28" i="5"/>
  <c r="D29" i="5" a="1"/>
  <c r="D29" i="5"/>
  <c r="D30" i="5" a="1"/>
  <c r="D30" i="5"/>
  <c r="D31" i="5" a="1"/>
  <c r="D31" i="5"/>
  <c r="D32" i="5" a="1"/>
  <c r="D32" i="5"/>
  <c r="D33" i="5" a="1"/>
  <c r="D33" i="5"/>
  <c r="D34" i="5" a="1"/>
  <c r="D34" i="5"/>
  <c r="D35" i="5" a="1"/>
  <c r="D35" i="5"/>
  <c r="D36" i="5" a="1"/>
  <c r="D36" i="5"/>
  <c r="D37" i="5" a="1"/>
  <c r="D37" i="5"/>
  <c r="D38" i="5" a="1"/>
  <c r="D38" i="5"/>
  <c r="D39" i="5" a="1"/>
  <c r="D39" i="5"/>
  <c r="D40" i="5" a="1"/>
  <c r="D40" i="5"/>
  <c r="D41" i="5" a="1"/>
  <c r="D41" i="5"/>
  <c r="D42" i="5" a="1"/>
  <c r="D42" i="5"/>
  <c r="D43" i="5" a="1"/>
  <c r="D43" i="5"/>
  <c r="D44" i="5" a="1"/>
  <c r="D44" i="5"/>
  <c r="D45" i="5" a="1"/>
  <c r="D45" i="5"/>
  <c r="D46" i="5" a="1"/>
  <c r="D46" i="5"/>
  <c r="D47" i="5" a="1"/>
  <c r="D47" i="5"/>
  <c r="D48" i="5" a="1"/>
  <c r="D48" i="5"/>
  <c r="D49" i="5" a="1"/>
  <c r="D49" i="5"/>
  <c r="D50" i="5" a="1"/>
  <c r="D50" i="5"/>
  <c r="D51" i="5" a="1"/>
  <c r="D51" i="5"/>
  <c r="D52" i="5" a="1"/>
  <c r="D52" i="5"/>
  <c r="D53" i="5" a="1"/>
  <c r="D53" i="5"/>
  <c r="D54" i="5" a="1"/>
  <c r="D54" i="5"/>
  <c r="D55" i="5" a="1"/>
  <c r="D55" i="5"/>
  <c r="D56" i="5" a="1"/>
  <c r="D56" i="5"/>
  <c r="D57" i="5" a="1"/>
  <c r="D57" i="5"/>
  <c r="D58" i="5" a="1"/>
  <c r="D58" i="5"/>
  <c r="D59" i="5" a="1"/>
  <c r="D59" i="5"/>
  <c r="D60" i="5" a="1"/>
  <c r="D60" i="5"/>
  <c r="D61" i="5" a="1"/>
  <c r="D61" i="5"/>
  <c r="D62" i="5" a="1"/>
  <c r="D62" i="5"/>
  <c r="D63" i="5" a="1"/>
  <c r="D63" i="5"/>
  <c r="D64" i="5" a="1"/>
  <c r="D64" i="5"/>
  <c r="D65" i="5" a="1"/>
  <c r="D65" i="5"/>
  <c r="D66" i="5" a="1"/>
  <c r="D66" i="5"/>
  <c r="D67" i="5" a="1"/>
  <c r="D67" i="5"/>
  <c r="D68" i="5" a="1"/>
  <c r="D68" i="5"/>
  <c r="D69" i="5" a="1"/>
  <c r="D69" i="5"/>
  <c r="D70" i="5" a="1"/>
  <c r="D70" i="5"/>
  <c r="D71" i="5" a="1"/>
  <c r="D71" i="5"/>
  <c r="D72" i="5" a="1"/>
  <c r="D72" i="5"/>
  <c r="D73" i="5" a="1"/>
  <c r="D73" i="5"/>
  <c r="D74" i="5" a="1"/>
  <c r="D74" i="5"/>
  <c r="D75" i="5" a="1"/>
  <c r="D75" i="5"/>
  <c r="D76" i="5" a="1"/>
  <c r="D76" i="5"/>
  <c r="D77" i="5" a="1"/>
  <c r="D77" i="5"/>
  <c r="D78" i="5" a="1"/>
  <c r="D78" i="5"/>
  <c r="D79" i="5" a="1"/>
  <c r="D79" i="5"/>
  <c r="D80" i="5" a="1"/>
  <c r="D80" i="5"/>
  <c r="D81" i="5" a="1"/>
  <c r="D81" i="5"/>
  <c r="D82" i="5" a="1"/>
  <c r="D82" i="5"/>
  <c r="D83" i="5" a="1"/>
  <c r="D83" i="5"/>
  <c r="D84" i="5" a="1"/>
  <c r="D84" i="5"/>
  <c r="D85" i="5" a="1"/>
  <c r="D85" i="5"/>
  <c r="D86" i="5" a="1"/>
  <c r="D86" i="5"/>
  <c r="D87" i="5" a="1"/>
  <c r="D87" i="5"/>
  <c r="D88" i="5" a="1"/>
  <c r="D88" i="5"/>
  <c r="D89" i="5" a="1"/>
  <c r="D89" i="5"/>
  <c r="D90" i="5" a="1"/>
  <c r="D90" i="5"/>
  <c r="D91" i="5" a="1"/>
  <c r="D91" i="5"/>
  <c r="D92" i="5" a="1"/>
  <c r="D92" i="5"/>
  <c r="D93" i="5" a="1"/>
  <c r="D93" i="5"/>
  <c r="D94" i="5" a="1"/>
  <c r="D94" i="5"/>
  <c r="D95" i="5" a="1"/>
  <c r="D95" i="5"/>
  <c r="D96" i="5" a="1"/>
  <c r="D96" i="5"/>
  <c r="D97" i="5" a="1"/>
  <c r="D97" i="5"/>
  <c r="D98" i="5" a="1"/>
  <c r="D98" i="5"/>
  <c r="D99" i="5" a="1"/>
  <c r="D99" i="5"/>
  <c r="D100" i="5" a="1"/>
  <c r="D100" i="5"/>
  <c r="D101" i="5" a="1"/>
  <c r="D101" i="5"/>
  <c r="D102" i="5" a="1"/>
  <c r="D102" i="5"/>
  <c r="D103" i="5" a="1"/>
  <c r="D103" i="5"/>
  <c r="D104" i="5" a="1"/>
  <c r="D104" i="5"/>
  <c r="D105" i="5" a="1"/>
  <c r="D105" i="5"/>
  <c r="D106" i="5" a="1"/>
  <c r="D106" i="5"/>
  <c r="D107" i="5" a="1"/>
  <c r="D107" i="5"/>
  <c r="D108" i="5" a="1"/>
  <c r="D108" i="5"/>
  <c r="D109" i="5" a="1"/>
  <c r="D109" i="5"/>
  <c r="D110" i="5" a="1"/>
  <c r="D110" i="5"/>
  <c r="D111" i="5" a="1"/>
  <c r="D111" i="5"/>
  <c r="D112" i="5" a="1"/>
  <c r="D112" i="5"/>
  <c r="D113" i="5" a="1"/>
  <c r="D113" i="5"/>
  <c r="D114" i="5" a="1"/>
  <c r="D114" i="5"/>
  <c r="D115" i="5" a="1"/>
  <c r="D115" i="5"/>
  <c r="D116" i="5" a="1"/>
  <c r="D116" i="5"/>
  <c r="D117" i="5" a="1"/>
  <c r="D117" i="5"/>
  <c r="D118" i="5" a="1"/>
  <c r="D118" i="5"/>
  <c r="D119" i="5" a="1"/>
  <c r="D119" i="5"/>
  <c r="D120" i="5" a="1"/>
  <c r="D120" i="5"/>
  <c r="D121" i="5" a="1"/>
  <c r="D121" i="5"/>
  <c r="D122" i="5" a="1"/>
  <c r="D122" i="5"/>
  <c r="D123" i="5" a="1"/>
  <c r="D123" i="5"/>
  <c r="D124" i="5" a="1"/>
  <c r="D124" i="5"/>
  <c r="D125" i="5" a="1"/>
  <c r="D125" i="5"/>
  <c r="D126" i="5" a="1"/>
  <c r="D126" i="5"/>
  <c r="D127" i="5" a="1"/>
  <c r="D127" i="5"/>
  <c r="D128" i="5" a="1"/>
  <c r="D128" i="5"/>
  <c r="D129" i="5" a="1"/>
  <c r="D129" i="5"/>
  <c r="D130" i="5" a="1"/>
  <c r="D130" i="5"/>
  <c r="D131" i="5" a="1"/>
  <c r="D131" i="5"/>
  <c r="D132" i="5" a="1"/>
  <c r="D132" i="5"/>
  <c r="D133" i="5" a="1"/>
  <c r="D133" i="5"/>
  <c r="D134" i="5" a="1"/>
  <c r="D134" i="5"/>
  <c r="D135" i="5" a="1"/>
  <c r="D135" i="5"/>
  <c r="D136" i="5" a="1"/>
  <c r="D136" i="5"/>
  <c r="D137" i="5" a="1"/>
  <c r="D137" i="5"/>
  <c r="D138" i="5" a="1"/>
  <c r="D138" i="5"/>
  <c r="D139" i="5" a="1"/>
  <c r="D139" i="5"/>
  <c r="D140" i="5" a="1"/>
  <c r="D140" i="5"/>
  <c r="D141" i="5" a="1"/>
  <c r="D141" i="5"/>
  <c r="D142" i="5" a="1"/>
  <c r="D142" i="5"/>
  <c r="D143" i="5" a="1"/>
  <c r="D143" i="5"/>
  <c r="D144" i="5" a="1"/>
  <c r="D144" i="5"/>
  <c r="D145" i="5" a="1"/>
  <c r="D145" i="5"/>
  <c r="D146" i="5" a="1"/>
  <c r="D146" i="5"/>
  <c r="D147" i="5" a="1"/>
  <c r="D147" i="5"/>
  <c r="D148" i="5" a="1"/>
  <c r="D148" i="5"/>
  <c r="D149" i="5" a="1"/>
  <c r="D149" i="5"/>
  <c r="D150" i="5" a="1"/>
  <c r="D150" i="5"/>
  <c r="D151" i="5" a="1"/>
  <c r="D151" i="5"/>
  <c r="D152" i="5" a="1"/>
  <c r="D152" i="5"/>
  <c r="D153" i="5" a="1"/>
  <c r="D153" i="5"/>
  <c r="D154" i="5" a="1"/>
  <c r="D154" i="5"/>
  <c r="D155" i="5" a="1"/>
  <c r="D155" i="5"/>
  <c r="D156" i="5" a="1"/>
  <c r="D156" i="5"/>
  <c r="D157" i="5" a="1"/>
  <c r="D157" i="5"/>
  <c r="D158" i="5" a="1"/>
  <c r="D158" i="5"/>
  <c r="D159" i="5" a="1"/>
  <c r="D159" i="5"/>
  <c r="D160" i="5" a="1"/>
  <c r="D160" i="5"/>
  <c r="D161" i="5" a="1"/>
  <c r="D161" i="5"/>
  <c r="D162" i="5" a="1"/>
  <c r="D162" i="5"/>
  <c r="D163" i="5" a="1"/>
  <c r="D163" i="5"/>
  <c r="D164" i="5" a="1"/>
  <c r="D164" i="5"/>
  <c r="D165" i="5" a="1"/>
  <c r="D165" i="5"/>
  <c r="D166" i="5" a="1"/>
  <c r="D166" i="5"/>
  <c r="D167" i="5" a="1"/>
  <c r="D167" i="5"/>
  <c r="D168" i="5" a="1"/>
  <c r="D168" i="5"/>
  <c r="D16" i="5" a="1"/>
  <c r="D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69" i="5" s="1"/>
  <c r="B157" i="5"/>
  <c r="B158" i="5"/>
  <c r="B159" i="5"/>
  <c r="B160" i="5"/>
  <c r="B161" i="5"/>
  <c r="B162" i="5"/>
  <c r="B163" i="5"/>
  <c r="B164" i="5"/>
  <c r="B165" i="5"/>
  <c r="B166" i="5"/>
  <c r="B167" i="5"/>
  <c r="B168" i="5"/>
  <c r="B16" i="5"/>
  <c r="Q3" i="10" l="1"/>
  <c r="L3" i="10" s="1"/>
  <c r="G4" i="10" a="1"/>
  <c r="G4" i="10" s="1"/>
  <c r="Q4" i="10" s="1"/>
  <c r="K4" i="10" a="1"/>
  <c r="K4" i="10" s="1"/>
  <c r="U4" i="10" s="1"/>
  <c r="J4" i="10" a="1"/>
  <c r="J4" i="10" s="1"/>
  <c r="T4" i="10" s="1"/>
  <c r="I4" i="10" a="1"/>
  <c r="I4" i="10" s="1"/>
  <c r="S4" i="10" s="1"/>
  <c r="H4" i="10" a="1"/>
  <c r="H4" i="10" s="1"/>
  <c r="R4" i="10" s="1"/>
  <c r="C169" i="5"/>
  <c r="B30" i="5"/>
  <c r="B44" i="5" s="1"/>
  <c r="B58" i="5" s="1"/>
  <c r="B72" i="5" s="1"/>
  <c r="B86" i="5" s="1"/>
  <c r="B100" i="5" s="1"/>
  <c r="B114" i="5" s="1"/>
  <c r="B128" i="5" s="1"/>
  <c r="B142" i="5" s="1"/>
  <c r="B156" i="5" s="1"/>
  <c r="C30" i="5"/>
  <c r="H5" i="10" l="1" a="1"/>
  <c r="H5" i="10" s="1"/>
  <c r="R5" i="10" s="1"/>
  <c r="M5" i="10" s="1"/>
  <c r="M4" i="10"/>
  <c r="I5" i="10" a="1"/>
  <c r="I5" i="10" s="1"/>
  <c r="S5" i="10" s="1"/>
  <c r="N5" i="10" s="1"/>
  <c r="N4" i="10"/>
  <c r="J5" i="10" a="1"/>
  <c r="J5" i="10" s="1"/>
  <c r="T5" i="10" s="1"/>
  <c r="O5" i="10" s="1"/>
  <c r="O4" i="10"/>
  <c r="K5" i="10" a="1"/>
  <c r="K5" i="10" s="1"/>
  <c r="U5" i="10" s="1"/>
  <c r="P5" i="10" s="1"/>
  <c r="P4" i="10"/>
  <c r="G5" i="10" a="1"/>
  <c r="G5" i="10" s="1"/>
  <c r="Q5" i="10" s="1"/>
  <c r="L5" i="10" s="1"/>
  <c r="L4" i="10"/>
  <c r="H6" i="10" a="1"/>
  <c r="H6" i="10" s="1"/>
  <c r="R6" i="10" s="1"/>
  <c r="I6" i="10" a="1"/>
  <c r="I6" i="10" s="1"/>
  <c r="S6" i="10" s="1"/>
  <c r="J6" i="10" a="1"/>
  <c r="J6" i="10" s="1"/>
  <c r="T6" i="10" s="1"/>
  <c r="K6" i="10" a="1"/>
  <c r="K6" i="10" s="1"/>
  <c r="U6" i="10" s="1"/>
  <c r="G6" i="10" a="1"/>
  <c r="G6" i="10" s="1"/>
  <c r="Q6" i="10" s="1"/>
  <c r="C44" i="5"/>
  <c r="G7" i="10" l="1" a="1"/>
  <c r="G7" i="10" s="1"/>
  <c r="Q7" i="10" s="1"/>
  <c r="L6" i="10"/>
  <c r="K7" i="10" a="1"/>
  <c r="K7" i="10" s="1"/>
  <c r="U7" i="10" s="1"/>
  <c r="P6" i="10"/>
  <c r="J7" i="10" a="1"/>
  <c r="J7" i="10" s="1"/>
  <c r="T7" i="10" s="1"/>
  <c r="O6" i="10"/>
  <c r="I7" i="10" a="1"/>
  <c r="I7" i="10" s="1"/>
  <c r="S7" i="10" s="1"/>
  <c r="N6" i="10"/>
  <c r="H7" i="10" a="1"/>
  <c r="H7" i="10" s="1"/>
  <c r="R7" i="10" s="1"/>
  <c r="M6" i="10"/>
  <c r="C58" i="5"/>
  <c r="H8" i="10" l="1" a="1"/>
  <c r="H8" i="10" s="1"/>
  <c r="R8" i="10" s="1"/>
  <c r="M7" i="10"/>
  <c r="I8" i="10" a="1"/>
  <c r="I8" i="10" s="1"/>
  <c r="S8" i="10" s="1"/>
  <c r="N7" i="10"/>
  <c r="J8" i="10" a="1"/>
  <c r="J8" i="10" s="1"/>
  <c r="T8" i="10" s="1"/>
  <c r="O7" i="10"/>
  <c r="K8" i="10" a="1"/>
  <c r="K8" i="10" s="1"/>
  <c r="U8" i="10" s="1"/>
  <c r="P7" i="10"/>
  <c r="G8" i="10" a="1"/>
  <c r="G8" i="10" s="1"/>
  <c r="Q8" i="10" s="1"/>
  <c r="L7" i="10"/>
  <c r="C72" i="5"/>
  <c r="G9" i="10" l="1" a="1"/>
  <c r="G9" i="10" s="1"/>
  <c r="Q9" i="10" s="1"/>
  <c r="L8" i="10"/>
  <c r="K9" i="10" a="1"/>
  <c r="K9" i="10" s="1"/>
  <c r="U9" i="10" s="1"/>
  <c r="P8" i="10"/>
  <c r="J9" i="10" a="1"/>
  <c r="J9" i="10" s="1"/>
  <c r="T9" i="10" s="1"/>
  <c r="O8" i="10"/>
  <c r="I9" i="10" a="1"/>
  <c r="I9" i="10" s="1"/>
  <c r="S9" i="10" s="1"/>
  <c r="N8" i="10"/>
  <c r="H9" i="10" a="1"/>
  <c r="H9" i="10" s="1"/>
  <c r="R9" i="10" s="1"/>
  <c r="M8" i="10"/>
  <c r="C86" i="5"/>
  <c r="H10" i="10" l="1" a="1"/>
  <c r="H10" i="10" s="1"/>
  <c r="R10" i="10" s="1"/>
  <c r="M9" i="10"/>
  <c r="I10" i="10" a="1"/>
  <c r="I10" i="10" s="1"/>
  <c r="S10" i="10" s="1"/>
  <c r="N9" i="10"/>
  <c r="J10" i="10" a="1"/>
  <c r="J10" i="10" s="1"/>
  <c r="T10" i="10" s="1"/>
  <c r="O9" i="10"/>
  <c r="K10" i="10" a="1"/>
  <c r="K10" i="10" s="1"/>
  <c r="U10" i="10" s="1"/>
  <c r="P9" i="10"/>
  <c r="G10" i="10" a="1"/>
  <c r="G10" i="10" s="1"/>
  <c r="Q10" i="10" s="1"/>
  <c r="L9" i="10"/>
  <c r="C100" i="5"/>
  <c r="G11" i="10" l="1" a="1"/>
  <c r="G11" i="10" s="1"/>
  <c r="Q11" i="10" s="1"/>
  <c r="L10" i="10"/>
  <c r="K11" i="10" a="1"/>
  <c r="K11" i="10" s="1"/>
  <c r="U11" i="10" s="1"/>
  <c r="P10" i="10"/>
  <c r="J11" i="10" a="1"/>
  <c r="J11" i="10" s="1"/>
  <c r="T11" i="10" s="1"/>
  <c r="O10" i="10"/>
  <c r="I11" i="10" a="1"/>
  <c r="I11" i="10" s="1"/>
  <c r="S11" i="10" s="1"/>
  <c r="N10" i="10"/>
  <c r="H11" i="10" a="1"/>
  <c r="H11" i="10" s="1"/>
  <c r="R11" i="10" s="1"/>
  <c r="M10" i="10"/>
  <c r="C114" i="5"/>
  <c r="H12" i="10" l="1" a="1"/>
  <c r="H12" i="10" s="1"/>
  <c r="R12" i="10" s="1"/>
  <c r="M11" i="10"/>
  <c r="I12" i="10" a="1"/>
  <c r="I12" i="10" s="1"/>
  <c r="S12" i="10" s="1"/>
  <c r="N11" i="10"/>
  <c r="J12" i="10" a="1"/>
  <c r="J12" i="10" s="1"/>
  <c r="T12" i="10" s="1"/>
  <c r="O11" i="10"/>
  <c r="K12" i="10" a="1"/>
  <c r="K12" i="10" s="1"/>
  <c r="U12" i="10" s="1"/>
  <c r="P11" i="10"/>
  <c r="G12" i="10" a="1"/>
  <c r="G12" i="10" s="1"/>
  <c r="Q12" i="10" s="1"/>
  <c r="L11" i="10"/>
  <c r="C128" i="5"/>
  <c r="G13" i="10" l="1" a="1"/>
  <c r="G13" i="10" s="1"/>
  <c r="Q13" i="10" s="1"/>
  <c r="L12" i="10"/>
  <c r="K13" i="10" a="1"/>
  <c r="K13" i="10" s="1"/>
  <c r="U13" i="10" s="1"/>
  <c r="P12" i="10"/>
  <c r="J13" i="10" a="1"/>
  <c r="J13" i="10" s="1"/>
  <c r="T13" i="10" s="1"/>
  <c r="O12" i="10"/>
  <c r="I13" i="10" a="1"/>
  <c r="I13" i="10" s="1"/>
  <c r="S13" i="10" s="1"/>
  <c r="N12" i="10"/>
  <c r="H13" i="10" a="1"/>
  <c r="H13" i="10" s="1"/>
  <c r="R13" i="10" s="1"/>
  <c r="M12" i="10"/>
  <c r="C142" i="5"/>
  <c r="H14" i="10" l="1" a="1"/>
  <c r="H14" i="10" s="1"/>
  <c r="R14" i="10" s="1"/>
  <c r="M13" i="10"/>
  <c r="I14" i="10" a="1"/>
  <c r="I14" i="10" s="1"/>
  <c r="S14" i="10" s="1"/>
  <c r="N13" i="10"/>
  <c r="J14" i="10" a="1"/>
  <c r="J14" i="10" s="1"/>
  <c r="T14" i="10" s="1"/>
  <c r="O13" i="10"/>
  <c r="K14" i="10" a="1"/>
  <c r="K14" i="10" s="1"/>
  <c r="U14" i="10" s="1"/>
  <c r="P13" i="10"/>
  <c r="G14" i="10" a="1"/>
  <c r="G14" i="10" s="1"/>
  <c r="Q14" i="10" s="1"/>
  <c r="L13" i="10"/>
  <c r="C156" i="5"/>
  <c r="F4" i="9" a="1"/>
  <c r="F4" i="9" s="1"/>
  <c r="F5" i="9" a="1"/>
  <c r="F5" i="9" s="1"/>
  <c r="F6" i="9" a="1"/>
  <c r="F6" i="9" s="1"/>
  <c r="F7" i="9" a="1"/>
  <c r="F7" i="9" s="1"/>
  <c r="E4" i="9" a="1"/>
  <c r="E4" i="9" s="1"/>
  <c r="E5" i="9" a="1"/>
  <c r="E5" i="9" s="1"/>
  <c r="E6" i="9" a="1"/>
  <c r="E6" i="9" s="1"/>
  <c r="E7" i="9" a="1"/>
  <c r="E7" i="9" s="1"/>
  <c r="G15" i="10" l="1" a="1"/>
  <c r="G15" i="10" s="1"/>
  <c r="Q15" i="10" s="1"/>
  <c r="L14" i="10"/>
  <c r="K15" i="10" a="1"/>
  <c r="K15" i="10" s="1"/>
  <c r="U15" i="10" s="1"/>
  <c r="P14" i="10"/>
  <c r="J15" i="10" a="1"/>
  <c r="J15" i="10" s="1"/>
  <c r="T15" i="10" s="1"/>
  <c r="O14" i="10"/>
  <c r="I15" i="10" a="1"/>
  <c r="I15" i="10" s="1"/>
  <c r="S15" i="10" s="1"/>
  <c r="N14" i="10"/>
  <c r="H15" i="10" a="1"/>
  <c r="H15" i="10" s="1"/>
  <c r="R15" i="10" s="1"/>
  <c r="M14" i="10"/>
  <c r="F3" i="9" a="1"/>
  <c r="F3" i="9" s="1"/>
  <c r="E3" i="9" a="1"/>
  <c r="E3" i="9" s="1"/>
  <c r="H16" i="10" l="1" a="1"/>
  <c r="H16" i="10" s="1"/>
  <c r="R16" i="10" s="1"/>
  <c r="M15" i="10"/>
  <c r="I16" i="10" a="1"/>
  <c r="I16" i="10" s="1"/>
  <c r="S16" i="10" s="1"/>
  <c r="N15" i="10"/>
  <c r="J16" i="10" a="1"/>
  <c r="J16" i="10" s="1"/>
  <c r="T16" i="10" s="1"/>
  <c r="O15" i="10"/>
  <c r="K16" i="10" a="1"/>
  <c r="K16" i="10" s="1"/>
  <c r="U16" i="10" s="1"/>
  <c r="P15" i="10"/>
  <c r="G16" i="10" a="1"/>
  <c r="G16" i="10" s="1"/>
  <c r="Q16" i="10" s="1"/>
  <c r="L15" i="10"/>
  <c r="D1048576" i="5"/>
  <c r="G17" i="10" l="1" a="1"/>
  <c r="G17" i="10" s="1"/>
  <c r="Q17" i="10" s="1"/>
  <c r="L16" i="10"/>
  <c r="K17" i="10" a="1"/>
  <c r="K17" i="10" s="1"/>
  <c r="U17" i="10" s="1"/>
  <c r="P16" i="10"/>
  <c r="J17" i="10" a="1"/>
  <c r="J17" i="10" s="1"/>
  <c r="T17" i="10" s="1"/>
  <c r="O16" i="10"/>
  <c r="I17" i="10" a="1"/>
  <c r="I17" i="10" s="1"/>
  <c r="S17" i="10" s="1"/>
  <c r="N16" i="10"/>
  <c r="H17" i="10" a="1"/>
  <c r="H17" i="10" s="1"/>
  <c r="R17" i="10" s="1"/>
  <c r="M16" i="10"/>
  <c r="H18" i="10" l="1" a="1"/>
  <c r="H18" i="10" s="1"/>
  <c r="R18" i="10" s="1"/>
  <c r="M17" i="10"/>
  <c r="I18" i="10" a="1"/>
  <c r="I18" i="10" s="1"/>
  <c r="S18" i="10" s="1"/>
  <c r="N17" i="10"/>
  <c r="J18" i="10" a="1"/>
  <c r="J18" i="10" s="1"/>
  <c r="T18" i="10" s="1"/>
  <c r="O17" i="10"/>
  <c r="K18" i="10" a="1"/>
  <c r="K18" i="10" s="1"/>
  <c r="U18" i="10" s="1"/>
  <c r="P17" i="10"/>
  <c r="G18" i="10" a="1"/>
  <c r="G18" i="10" s="1"/>
  <c r="Q18" i="10" s="1"/>
  <c r="L17" i="10"/>
  <c r="G19" i="10" l="1" a="1"/>
  <c r="G19" i="10" s="1"/>
  <c r="Q19" i="10" s="1"/>
  <c r="L18" i="10"/>
  <c r="K19" i="10" a="1"/>
  <c r="K19" i="10" s="1"/>
  <c r="U19" i="10" s="1"/>
  <c r="P18" i="10"/>
  <c r="J19" i="10" a="1"/>
  <c r="J19" i="10" s="1"/>
  <c r="T19" i="10" s="1"/>
  <c r="O18" i="10"/>
  <c r="I19" i="10" a="1"/>
  <c r="I19" i="10" s="1"/>
  <c r="S19" i="10" s="1"/>
  <c r="N18" i="10"/>
  <c r="H19" i="10" a="1"/>
  <c r="H19" i="10" s="1"/>
  <c r="R19" i="10" s="1"/>
  <c r="M18" i="10"/>
  <c r="H20" i="10" l="1" a="1"/>
  <c r="H20" i="10" s="1"/>
  <c r="R20" i="10" s="1"/>
  <c r="M19" i="10"/>
  <c r="I20" i="10" a="1"/>
  <c r="I20" i="10" s="1"/>
  <c r="S20" i="10" s="1"/>
  <c r="N19" i="10"/>
  <c r="J20" i="10" a="1"/>
  <c r="J20" i="10" s="1"/>
  <c r="T20" i="10" s="1"/>
  <c r="O19" i="10"/>
  <c r="K20" i="10" a="1"/>
  <c r="K20" i="10" s="1"/>
  <c r="U20" i="10" s="1"/>
  <c r="P19" i="10"/>
  <c r="G20" i="10" a="1"/>
  <c r="G20" i="10" s="1"/>
  <c r="Q20" i="10" s="1"/>
  <c r="L19" i="10"/>
  <c r="G21" i="10" l="1" a="1"/>
  <c r="G21" i="10" s="1"/>
  <c r="Q21" i="10" s="1"/>
  <c r="L20" i="10"/>
  <c r="K21" i="10" a="1"/>
  <c r="K21" i="10" s="1"/>
  <c r="U21" i="10" s="1"/>
  <c r="P20" i="10"/>
  <c r="J21" i="10" a="1"/>
  <c r="J21" i="10" s="1"/>
  <c r="T21" i="10" s="1"/>
  <c r="O20" i="10"/>
  <c r="I21" i="10" a="1"/>
  <c r="I21" i="10" s="1"/>
  <c r="S21" i="10" s="1"/>
  <c r="N20" i="10"/>
  <c r="H21" i="10" a="1"/>
  <c r="H21" i="10" s="1"/>
  <c r="R21" i="10" s="1"/>
  <c r="M20" i="10"/>
  <c r="H22" i="10" l="1" a="1"/>
  <c r="H22" i="10" s="1"/>
  <c r="R22" i="10" s="1"/>
  <c r="M21" i="10"/>
  <c r="I22" i="10" a="1"/>
  <c r="I22" i="10" s="1"/>
  <c r="S22" i="10" s="1"/>
  <c r="N21" i="10"/>
  <c r="J22" i="10" a="1"/>
  <c r="J22" i="10" s="1"/>
  <c r="T22" i="10" s="1"/>
  <c r="O21" i="10"/>
  <c r="K22" i="10" a="1"/>
  <c r="K22" i="10" s="1"/>
  <c r="U22" i="10" s="1"/>
  <c r="P21" i="10"/>
  <c r="G22" i="10" a="1"/>
  <c r="G22" i="10" s="1"/>
  <c r="Q22" i="10" s="1"/>
  <c r="L21" i="10"/>
  <c r="G23" i="10" l="1" a="1"/>
  <c r="G23" i="10" s="1"/>
  <c r="Q23" i="10" s="1"/>
  <c r="L22" i="10"/>
  <c r="K23" i="10" a="1"/>
  <c r="K23" i="10" s="1"/>
  <c r="U23" i="10" s="1"/>
  <c r="P22" i="10"/>
  <c r="J23" i="10" a="1"/>
  <c r="J23" i="10" s="1"/>
  <c r="T23" i="10" s="1"/>
  <c r="O22" i="10"/>
  <c r="I23" i="10" a="1"/>
  <c r="I23" i="10" s="1"/>
  <c r="S23" i="10" s="1"/>
  <c r="N22" i="10"/>
  <c r="H23" i="10" a="1"/>
  <c r="H23" i="10" s="1"/>
  <c r="R23" i="10" s="1"/>
  <c r="M22" i="10"/>
  <c r="H24" i="10" l="1" a="1"/>
  <c r="H24" i="10" s="1"/>
  <c r="R24" i="10" s="1"/>
  <c r="M23" i="10"/>
  <c r="I24" i="10" a="1"/>
  <c r="I24" i="10" s="1"/>
  <c r="S24" i="10" s="1"/>
  <c r="N23" i="10"/>
  <c r="J24" i="10" a="1"/>
  <c r="J24" i="10" s="1"/>
  <c r="T24" i="10" s="1"/>
  <c r="O23" i="10"/>
  <c r="K24" i="10" a="1"/>
  <c r="K24" i="10" s="1"/>
  <c r="U24" i="10" s="1"/>
  <c r="P23" i="10"/>
  <c r="G24" i="10" a="1"/>
  <c r="G24" i="10" s="1"/>
  <c r="Q24" i="10" s="1"/>
  <c r="L23" i="10"/>
  <c r="G25" i="10" l="1" a="1"/>
  <c r="G25" i="10" s="1"/>
  <c r="Q25" i="10" s="1"/>
  <c r="L24" i="10"/>
  <c r="K25" i="10" a="1"/>
  <c r="K25" i="10" s="1"/>
  <c r="U25" i="10" s="1"/>
  <c r="P24" i="10"/>
  <c r="J25" i="10" a="1"/>
  <c r="J25" i="10" s="1"/>
  <c r="T25" i="10" s="1"/>
  <c r="O24" i="10"/>
  <c r="I25" i="10" a="1"/>
  <c r="I25" i="10" s="1"/>
  <c r="S25" i="10" s="1"/>
  <c r="N24" i="10"/>
  <c r="H25" i="10" a="1"/>
  <c r="H25" i="10" s="1"/>
  <c r="R25" i="10" s="1"/>
  <c r="M24" i="10"/>
  <c r="H26" i="10" l="1" a="1"/>
  <c r="H26" i="10" s="1"/>
  <c r="R26" i="10" s="1"/>
  <c r="M25" i="10"/>
  <c r="I26" i="10" a="1"/>
  <c r="I26" i="10" s="1"/>
  <c r="S26" i="10" s="1"/>
  <c r="N25" i="10"/>
  <c r="J26" i="10" a="1"/>
  <c r="J26" i="10" s="1"/>
  <c r="T26" i="10" s="1"/>
  <c r="O25" i="10"/>
  <c r="K26" i="10" a="1"/>
  <c r="K26" i="10" s="1"/>
  <c r="U26" i="10" s="1"/>
  <c r="P25" i="10"/>
  <c r="G26" i="10" a="1"/>
  <c r="G26" i="10" s="1"/>
  <c r="Q26" i="10" s="1"/>
  <c r="L25" i="10"/>
  <c r="G27" i="10" l="1" a="1"/>
  <c r="G27" i="10" s="1"/>
  <c r="Q27" i="10" s="1"/>
  <c r="L26" i="10"/>
  <c r="K27" i="10" a="1"/>
  <c r="K27" i="10" s="1"/>
  <c r="U27" i="10" s="1"/>
  <c r="P26" i="10"/>
  <c r="J27" i="10" a="1"/>
  <c r="J27" i="10" s="1"/>
  <c r="T27" i="10" s="1"/>
  <c r="O26" i="10"/>
  <c r="I27" i="10" a="1"/>
  <c r="I27" i="10" s="1"/>
  <c r="S27" i="10" s="1"/>
  <c r="N26" i="10"/>
  <c r="H27" i="10" a="1"/>
  <c r="H27" i="10" s="1"/>
  <c r="R27" i="10" s="1"/>
  <c r="M26" i="10"/>
  <c r="H28" i="10" l="1" a="1"/>
  <c r="H28" i="10" s="1"/>
  <c r="R28" i="10" s="1"/>
  <c r="M27" i="10"/>
  <c r="I28" i="10" a="1"/>
  <c r="I28" i="10" s="1"/>
  <c r="S28" i="10" s="1"/>
  <c r="N27" i="10"/>
  <c r="J28" i="10" a="1"/>
  <c r="J28" i="10" s="1"/>
  <c r="T28" i="10" s="1"/>
  <c r="O27" i="10"/>
  <c r="K28" i="10" a="1"/>
  <c r="K28" i="10" s="1"/>
  <c r="U28" i="10" s="1"/>
  <c r="P27" i="10"/>
  <c r="G28" i="10" a="1"/>
  <c r="G28" i="10" s="1"/>
  <c r="Q28" i="10" s="1"/>
  <c r="L27" i="10"/>
  <c r="G29" i="10" l="1" a="1"/>
  <c r="G29" i="10" s="1"/>
  <c r="Q29" i="10" s="1"/>
  <c r="L28" i="10"/>
  <c r="K29" i="10" a="1"/>
  <c r="K29" i="10" s="1"/>
  <c r="U29" i="10" s="1"/>
  <c r="P28" i="10"/>
  <c r="J29" i="10" a="1"/>
  <c r="J29" i="10" s="1"/>
  <c r="T29" i="10" s="1"/>
  <c r="O28" i="10"/>
  <c r="I29" i="10" a="1"/>
  <c r="I29" i="10" s="1"/>
  <c r="S29" i="10" s="1"/>
  <c r="N28" i="10"/>
  <c r="H29" i="10" a="1"/>
  <c r="H29" i="10" s="1"/>
  <c r="R29" i="10" s="1"/>
  <c r="M28" i="10"/>
  <c r="H30" i="10" l="1" a="1"/>
  <c r="H30" i="10" s="1"/>
  <c r="R30" i="10" s="1"/>
  <c r="M29" i="10"/>
  <c r="I30" i="10" a="1"/>
  <c r="I30" i="10" s="1"/>
  <c r="S30" i="10" s="1"/>
  <c r="N29" i="10"/>
  <c r="J30" i="10" a="1"/>
  <c r="J30" i="10" s="1"/>
  <c r="T30" i="10" s="1"/>
  <c r="O29" i="10"/>
  <c r="K30" i="10" a="1"/>
  <c r="K30" i="10" s="1"/>
  <c r="U30" i="10" s="1"/>
  <c r="P29" i="10"/>
  <c r="G30" i="10" a="1"/>
  <c r="G30" i="10" s="1"/>
  <c r="Q30" i="10" s="1"/>
  <c r="L29" i="10"/>
  <c r="G31" i="10" l="1" a="1"/>
  <c r="G31" i="10" s="1"/>
  <c r="Q31" i="10" s="1"/>
  <c r="L30" i="10"/>
  <c r="K31" i="10" a="1"/>
  <c r="K31" i="10" s="1"/>
  <c r="U31" i="10" s="1"/>
  <c r="P30" i="10"/>
  <c r="J31" i="10" a="1"/>
  <c r="J31" i="10" s="1"/>
  <c r="T31" i="10" s="1"/>
  <c r="O30" i="10"/>
  <c r="I31" i="10" a="1"/>
  <c r="I31" i="10" s="1"/>
  <c r="S31" i="10" s="1"/>
  <c r="N30" i="10"/>
  <c r="H31" i="10" a="1"/>
  <c r="H31" i="10" s="1"/>
  <c r="R31" i="10" s="1"/>
  <c r="M30" i="10"/>
  <c r="H32" i="10" l="1" a="1"/>
  <c r="H32" i="10" s="1"/>
  <c r="R32" i="10" s="1"/>
  <c r="M31" i="10"/>
  <c r="I32" i="10" a="1"/>
  <c r="I32" i="10" s="1"/>
  <c r="S32" i="10" s="1"/>
  <c r="N31" i="10"/>
  <c r="J32" i="10" a="1"/>
  <c r="J32" i="10" s="1"/>
  <c r="T32" i="10" s="1"/>
  <c r="O31" i="10"/>
  <c r="K32" i="10" a="1"/>
  <c r="K32" i="10" s="1"/>
  <c r="U32" i="10" s="1"/>
  <c r="P31" i="10"/>
  <c r="G32" i="10" a="1"/>
  <c r="G32" i="10" s="1"/>
  <c r="Q32" i="10" s="1"/>
  <c r="L31" i="10"/>
  <c r="G33" i="10" l="1" a="1"/>
  <c r="G33" i="10" s="1"/>
  <c r="Q33" i="10" s="1"/>
  <c r="L32" i="10"/>
  <c r="K33" i="10" a="1"/>
  <c r="K33" i="10" s="1"/>
  <c r="U33" i="10" s="1"/>
  <c r="P32" i="10"/>
  <c r="J33" i="10" a="1"/>
  <c r="J33" i="10" s="1"/>
  <c r="T33" i="10" s="1"/>
  <c r="O32" i="10"/>
  <c r="I33" i="10" a="1"/>
  <c r="I33" i="10" s="1"/>
  <c r="S33" i="10" s="1"/>
  <c r="N32" i="10"/>
  <c r="H33" i="10" a="1"/>
  <c r="H33" i="10" s="1"/>
  <c r="R33" i="10" s="1"/>
  <c r="M32" i="10"/>
  <c r="H34" i="10" l="1" a="1"/>
  <c r="H34" i="10" s="1"/>
  <c r="R34" i="10" s="1"/>
  <c r="M33" i="10"/>
  <c r="I34" i="10" a="1"/>
  <c r="I34" i="10" s="1"/>
  <c r="S34" i="10" s="1"/>
  <c r="N33" i="10"/>
  <c r="J34" i="10" a="1"/>
  <c r="J34" i="10" s="1"/>
  <c r="T34" i="10" s="1"/>
  <c r="O33" i="10"/>
  <c r="K34" i="10" a="1"/>
  <c r="K34" i="10" s="1"/>
  <c r="U34" i="10" s="1"/>
  <c r="P33" i="10"/>
  <c r="G34" i="10" a="1"/>
  <c r="G34" i="10" s="1"/>
  <c r="Q34" i="10" s="1"/>
  <c r="L33" i="10"/>
  <c r="G35" i="10" l="1" a="1"/>
  <c r="G35" i="10" s="1"/>
  <c r="Q35" i="10" s="1"/>
  <c r="L34" i="10"/>
  <c r="K35" i="10" a="1"/>
  <c r="K35" i="10" s="1"/>
  <c r="U35" i="10" s="1"/>
  <c r="P34" i="10"/>
  <c r="J35" i="10" a="1"/>
  <c r="J35" i="10" s="1"/>
  <c r="T35" i="10" s="1"/>
  <c r="O34" i="10"/>
  <c r="I35" i="10" a="1"/>
  <c r="I35" i="10" s="1"/>
  <c r="S35" i="10" s="1"/>
  <c r="N34" i="10"/>
  <c r="H35" i="10" a="1"/>
  <c r="H35" i="10" s="1"/>
  <c r="R35" i="10" s="1"/>
  <c r="M34" i="10"/>
  <c r="H36" i="10" l="1" a="1"/>
  <c r="H36" i="10" s="1"/>
  <c r="R36" i="10" s="1"/>
  <c r="M35" i="10"/>
  <c r="I36" i="10" a="1"/>
  <c r="I36" i="10" s="1"/>
  <c r="S36" i="10" s="1"/>
  <c r="N35" i="10"/>
  <c r="J36" i="10" a="1"/>
  <c r="J36" i="10" s="1"/>
  <c r="T36" i="10" s="1"/>
  <c r="O35" i="10"/>
  <c r="K36" i="10" a="1"/>
  <c r="K36" i="10" s="1"/>
  <c r="U36" i="10" s="1"/>
  <c r="P35" i="10"/>
  <c r="G36" i="10" a="1"/>
  <c r="G36" i="10" s="1"/>
  <c r="Q36" i="10" s="1"/>
  <c r="L35" i="10"/>
  <c r="G37" i="10" l="1" a="1"/>
  <c r="G37" i="10" s="1"/>
  <c r="Q37" i="10" s="1"/>
  <c r="L36" i="10"/>
  <c r="K37" i="10" a="1"/>
  <c r="K37" i="10" s="1"/>
  <c r="U37" i="10" s="1"/>
  <c r="P36" i="10"/>
  <c r="J37" i="10" a="1"/>
  <c r="J37" i="10" s="1"/>
  <c r="T37" i="10" s="1"/>
  <c r="O36" i="10"/>
  <c r="I37" i="10" a="1"/>
  <c r="I37" i="10" s="1"/>
  <c r="S37" i="10" s="1"/>
  <c r="N36" i="10"/>
  <c r="H37" i="10" a="1"/>
  <c r="H37" i="10" s="1"/>
  <c r="R37" i="10" s="1"/>
  <c r="M36" i="10"/>
  <c r="H38" i="10" l="1" a="1"/>
  <c r="H38" i="10" s="1"/>
  <c r="R38" i="10" s="1"/>
  <c r="M37" i="10"/>
  <c r="I38" i="10" a="1"/>
  <c r="I38" i="10" s="1"/>
  <c r="S38" i="10" s="1"/>
  <c r="N37" i="10"/>
  <c r="J38" i="10" a="1"/>
  <c r="J38" i="10" s="1"/>
  <c r="T38" i="10" s="1"/>
  <c r="O37" i="10"/>
  <c r="K38" i="10" a="1"/>
  <c r="K38" i="10" s="1"/>
  <c r="U38" i="10" s="1"/>
  <c r="P37" i="10"/>
  <c r="G38" i="10" a="1"/>
  <c r="G38" i="10" s="1"/>
  <c r="Q38" i="10" s="1"/>
  <c r="L37" i="10"/>
  <c r="G39" i="10" l="1" a="1"/>
  <c r="G39" i="10" s="1"/>
  <c r="Q39" i="10" s="1"/>
  <c r="L38" i="10"/>
  <c r="K39" i="10" a="1"/>
  <c r="K39" i="10" s="1"/>
  <c r="U39" i="10" s="1"/>
  <c r="P38" i="10"/>
  <c r="J39" i="10" a="1"/>
  <c r="J39" i="10" s="1"/>
  <c r="T39" i="10" s="1"/>
  <c r="O38" i="10"/>
  <c r="I39" i="10" a="1"/>
  <c r="I39" i="10" s="1"/>
  <c r="S39" i="10" s="1"/>
  <c r="N38" i="10"/>
  <c r="H39" i="10" a="1"/>
  <c r="H39" i="10" s="1"/>
  <c r="R39" i="10" s="1"/>
  <c r="M38" i="10"/>
  <c r="H40" i="10" l="1" a="1"/>
  <c r="H40" i="10" s="1"/>
  <c r="R40" i="10" s="1"/>
  <c r="M39" i="10"/>
  <c r="I40" i="10" a="1"/>
  <c r="I40" i="10" s="1"/>
  <c r="S40" i="10" s="1"/>
  <c r="N39" i="10"/>
  <c r="J40" i="10" a="1"/>
  <c r="J40" i="10" s="1"/>
  <c r="T40" i="10" s="1"/>
  <c r="O39" i="10"/>
  <c r="K40" i="10" a="1"/>
  <c r="K40" i="10" s="1"/>
  <c r="U40" i="10" s="1"/>
  <c r="P39" i="10"/>
  <c r="G40" i="10" a="1"/>
  <c r="G40" i="10" s="1"/>
  <c r="Q40" i="10" s="1"/>
  <c r="L39" i="10"/>
  <c r="G41" i="10" l="1" a="1"/>
  <c r="G41" i="10" s="1"/>
  <c r="Q41" i="10" s="1"/>
  <c r="L40" i="10"/>
  <c r="K41" i="10" a="1"/>
  <c r="K41" i="10" s="1"/>
  <c r="U41" i="10" s="1"/>
  <c r="P40" i="10"/>
  <c r="J41" i="10" a="1"/>
  <c r="J41" i="10" s="1"/>
  <c r="T41" i="10" s="1"/>
  <c r="O40" i="10"/>
  <c r="I41" i="10" a="1"/>
  <c r="I41" i="10" s="1"/>
  <c r="S41" i="10" s="1"/>
  <c r="N40" i="10"/>
  <c r="H41" i="10" a="1"/>
  <c r="H41" i="10" s="1"/>
  <c r="R41" i="10" s="1"/>
  <c r="M40" i="10"/>
  <c r="H42" i="10" l="1" a="1"/>
  <c r="H42" i="10" s="1"/>
  <c r="R42" i="10" s="1"/>
  <c r="M41" i="10"/>
  <c r="I42" i="10" a="1"/>
  <c r="I42" i="10" s="1"/>
  <c r="S42" i="10" s="1"/>
  <c r="N41" i="10"/>
  <c r="J42" i="10" a="1"/>
  <c r="J42" i="10" s="1"/>
  <c r="T42" i="10" s="1"/>
  <c r="O41" i="10"/>
  <c r="K42" i="10" a="1"/>
  <c r="K42" i="10" s="1"/>
  <c r="U42" i="10" s="1"/>
  <c r="P41" i="10"/>
  <c r="G42" i="10" a="1"/>
  <c r="G42" i="10" s="1"/>
  <c r="Q42" i="10" s="1"/>
  <c r="L41" i="10"/>
  <c r="G43" i="10" l="1" a="1"/>
  <c r="G43" i="10" s="1"/>
  <c r="Q43" i="10" s="1"/>
  <c r="L42" i="10"/>
  <c r="K43" i="10" a="1"/>
  <c r="K43" i="10" s="1"/>
  <c r="U43" i="10" s="1"/>
  <c r="P42" i="10"/>
  <c r="J43" i="10" a="1"/>
  <c r="J43" i="10" s="1"/>
  <c r="T43" i="10" s="1"/>
  <c r="O42" i="10"/>
  <c r="I43" i="10" a="1"/>
  <c r="I43" i="10" s="1"/>
  <c r="S43" i="10" s="1"/>
  <c r="N42" i="10"/>
  <c r="H43" i="10" a="1"/>
  <c r="H43" i="10" s="1"/>
  <c r="R43" i="10" s="1"/>
  <c r="M42" i="10"/>
  <c r="H44" i="10" l="1" a="1"/>
  <c r="H44" i="10" s="1"/>
  <c r="R44" i="10" s="1"/>
  <c r="M43" i="10"/>
  <c r="I44" i="10" a="1"/>
  <c r="I44" i="10" s="1"/>
  <c r="S44" i="10" s="1"/>
  <c r="N43" i="10"/>
  <c r="J44" i="10" a="1"/>
  <c r="J44" i="10" s="1"/>
  <c r="T44" i="10" s="1"/>
  <c r="O43" i="10"/>
  <c r="K44" i="10" a="1"/>
  <c r="K44" i="10" s="1"/>
  <c r="U44" i="10" s="1"/>
  <c r="P43" i="10"/>
  <c r="G44" i="10" a="1"/>
  <c r="G44" i="10" s="1"/>
  <c r="Q44" i="10" s="1"/>
  <c r="L43" i="10"/>
  <c r="G45" i="10" l="1" a="1"/>
  <c r="G45" i="10" s="1"/>
  <c r="Q45" i="10" s="1"/>
  <c r="L44" i="10"/>
  <c r="K45" i="10" a="1"/>
  <c r="K45" i="10" s="1"/>
  <c r="U45" i="10" s="1"/>
  <c r="P44" i="10"/>
  <c r="J45" i="10" a="1"/>
  <c r="J45" i="10" s="1"/>
  <c r="T45" i="10" s="1"/>
  <c r="O44" i="10"/>
  <c r="I45" i="10" a="1"/>
  <c r="I45" i="10" s="1"/>
  <c r="S45" i="10" s="1"/>
  <c r="N44" i="10"/>
  <c r="H45" i="10" a="1"/>
  <c r="H45" i="10" s="1"/>
  <c r="R45" i="10" s="1"/>
  <c r="M44" i="10"/>
  <c r="H46" i="10" l="1" a="1"/>
  <c r="H46" i="10" s="1"/>
  <c r="R46" i="10" s="1"/>
  <c r="M45" i="10"/>
  <c r="I46" i="10" a="1"/>
  <c r="I46" i="10" s="1"/>
  <c r="S46" i="10" s="1"/>
  <c r="N45" i="10"/>
  <c r="J46" i="10" a="1"/>
  <c r="J46" i="10" s="1"/>
  <c r="T46" i="10" s="1"/>
  <c r="O45" i="10"/>
  <c r="K46" i="10" a="1"/>
  <c r="K46" i="10" s="1"/>
  <c r="U46" i="10" s="1"/>
  <c r="P45" i="10"/>
  <c r="G46" i="10" a="1"/>
  <c r="G46" i="10" s="1"/>
  <c r="Q46" i="10" s="1"/>
  <c r="L45" i="10"/>
  <c r="G47" i="10" l="1" a="1"/>
  <c r="G47" i="10" s="1"/>
  <c r="Q47" i="10" s="1"/>
  <c r="L46" i="10"/>
  <c r="K47" i="10" a="1"/>
  <c r="K47" i="10" s="1"/>
  <c r="U47" i="10" s="1"/>
  <c r="P46" i="10"/>
  <c r="J47" i="10" a="1"/>
  <c r="J47" i="10" s="1"/>
  <c r="T47" i="10" s="1"/>
  <c r="O46" i="10"/>
  <c r="I47" i="10" a="1"/>
  <c r="I47" i="10" s="1"/>
  <c r="S47" i="10" s="1"/>
  <c r="N46" i="10"/>
  <c r="H47" i="10" a="1"/>
  <c r="H47" i="10" s="1"/>
  <c r="R47" i="10" s="1"/>
  <c r="M46" i="10"/>
  <c r="H48" i="10" l="1" a="1"/>
  <c r="H48" i="10" s="1"/>
  <c r="R48" i="10" s="1"/>
  <c r="M47" i="10"/>
  <c r="I48" i="10" a="1"/>
  <c r="I48" i="10" s="1"/>
  <c r="S48" i="10" s="1"/>
  <c r="N47" i="10"/>
  <c r="J48" i="10" a="1"/>
  <c r="J48" i="10" s="1"/>
  <c r="T48" i="10" s="1"/>
  <c r="O47" i="10"/>
  <c r="K48" i="10" a="1"/>
  <c r="K48" i="10" s="1"/>
  <c r="U48" i="10" s="1"/>
  <c r="P47" i="10"/>
  <c r="G48" i="10" a="1"/>
  <c r="G48" i="10" s="1"/>
  <c r="Q48" i="10" s="1"/>
  <c r="L47" i="10"/>
  <c r="G49" i="10" l="1" a="1"/>
  <c r="G49" i="10" s="1"/>
  <c r="Q49" i="10" s="1"/>
  <c r="L48" i="10"/>
  <c r="K49" i="10" a="1"/>
  <c r="K49" i="10" s="1"/>
  <c r="U49" i="10" s="1"/>
  <c r="P48" i="10"/>
  <c r="J49" i="10" a="1"/>
  <c r="J49" i="10" s="1"/>
  <c r="T49" i="10" s="1"/>
  <c r="O48" i="10"/>
  <c r="I49" i="10" a="1"/>
  <c r="I49" i="10" s="1"/>
  <c r="S49" i="10" s="1"/>
  <c r="N48" i="10"/>
  <c r="H49" i="10" a="1"/>
  <c r="H49" i="10" s="1"/>
  <c r="R49" i="10" s="1"/>
  <c r="M48" i="10"/>
  <c r="H50" i="10" l="1" a="1"/>
  <c r="H50" i="10" s="1"/>
  <c r="R50" i="10" s="1"/>
  <c r="M49" i="10"/>
  <c r="I50" i="10" a="1"/>
  <c r="I50" i="10" s="1"/>
  <c r="S50" i="10" s="1"/>
  <c r="N49" i="10"/>
  <c r="J50" i="10" a="1"/>
  <c r="J50" i="10" s="1"/>
  <c r="T50" i="10" s="1"/>
  <c r="O49" i="10"/>
  <c r="K50" i="10" a="1"/>
  <c r="K50" i="10" s="1"/>
  <c r="U50" i="10" s="1"/>
  <c r="P49" i="10"/>
  <c r="G50" i="10" a="1"/>
  <c r="G50" i="10" s="1"/>
  <c r="Q50" i="10" s="1"/>
  <c r="L49" i="10"/>
  <c r="G51" i="10" l="1" a="1"/>
  <c r="G51" i="10" s="1"/>
  <c r="Q51" i="10" s="1"/>
  <c r="L50" i="10"/>
  <c r="K51" i="10" a="1"/>
  <c r="K51" i="10" s="1"/>
  <c r="U51" i="10" s="1"/>
  <c r="P50" i="10"/>
  <c r="J51" i="10" a="1"/>
  <c r="J51" i="10" s="1"/>
  <c r="T51" i="10" s="1"/>
  <c r="O50" i="10"/>
  <c r="I51" i="10" a="1"/>
  <c r="I51" i="10" s="1"/>
  <c r="S51" i="10" s="1"/>
  <c r="N50" i="10"/>
  <c r="H51" i="10" a="1"/>
  <c r="H51" i="10" s="1"/>
  <c r="R51" i="10" s="1"/>
  <c r="M50" i="10"/>
  <c r="H52" i="10" l="1" a="1"/>
  <c r="H52" i="10" s="1"/>
  <c r="R52" i="10" s="1"/>
  <c r="M51" i="10"/>
  <c r="I52" i="10" a="1"/>
  <c r="I52" i="10" s="1"/>
  <c r="S52" i="10" s="1"/>
  <c r="N51" i="10"/>
  <c r="J52" i="10" a="1"/>
  <c r="J52" i="10" s="1"/>
  <c r="T52" i="10" s="1"/>
  <c r="O51" i="10"/>
  <c r="K52" i="10" a="1"/>
  <c r="K52" i="10" s="1"/>
  <c r="U52" i="10" s="1"/>
  <c r="P51" i="10"/>
  <c r="G52" i="10" a="1"/>
  <c r="G52" i="10" s="1"/>
  <c r="Q52" i="10" s="1"/>
  <c r="L51" i="10"/>
  <c r="G53" i="10" l="1" a="1"/>
  <c r="G53" i="10" s="1"/>
  <c r="Q53" i="10" s="1"/>
  <c r="L52" i="10"/>
  <c r="K53" i="10" a="1"/>
  <c r="K53" i="10" s="1"/>
  <c r="U53" i="10" s="1"/>
  <c r="P52" i="10"/>
  <c r="J53" i="10" a="1"/>
  <c r="J53" i="10" s="1"/>
  <c r="T53" i="10" s="1"/>
  <c r="O52" i="10"/>
  <c r="I53" i="10" a="1"/>
  <c r="I53" i="10" s="1"/>
  <c r="S53" i="10" s="1"/>
  <c r="N52" i="10"/>
  <c r="H53" i="10" a="1"/>
  <c r="H53" i="10" s="1"/>
  <c r="R53" i="10" s="1"/>
  <c r="M52" i="10"/>
  <c r="H54" i="10" l="1" a="1"/>
  <c r="H54" i="10" s="1"/>
  <c r="R54" i="10" s="1"/>
  <c r="M53" i="10"/>
  <c r="I54" i="10" a="1"/>
  <c r="I54" i="10" s="1"/>
  <c r="S54" i="10" s="1"/>
  <c r="N53" i="10"/>
  <c r="J54" i="10" a="1"/>
  <c r="J54" i="10" s="1"/>
  <c r="T54" i="10" s="1"/>
  <c r="O53" i="10"/>
  <c r="K54" i="10" a="1"/>
  <c r="K54" i="10" s="1"/>
  <c r="U54" i="10" s="1"/>
  <c r="P53" i="10"/>
  <c r="G54" i="10" a="1"/>
  <c r="G54" i="10" s="1"/>
  <c r="Q54" i="10" s="1"/>
  <c r="L53" i="10"/>
  <c r="G55" i="10" l="1" a="1"/>
  <c r="G55" i="10" s="1"/>
  <c r="Q55" i="10" s="1"/>
  <c r="L54" i="10"/>
  <c r="K55" i="10" a="1"/>
  <c r="K55" i="10" s="1"/>
  <c r="U55" i="10" s="1"/>
  <c r="P54" i="10"/>
  <c r="J55" i="10" a="1"/>
  <c r="J55" i="10" s="1"/>
  <c r="T55" i="10" s="1"/>
  <c r="O54" i="10"/>
  <c r="I55" i="10" a="1"/>
  <c r="I55" i="10" s="1"/>
  <c r="S55" i="10" s="1"/>
  <c r="N54" i="10"/>
  <c r="H55" i="10" a="1"/>
  <c r="H55" i="10" s="1"/>
  <c r="R55" i="10" s="1"/>
  <c r="M54" i="10"/>
  <c r="H56" i="10" l="1" a="1"/>
  <c r="H56" i="10" s="1"/>
  <c r="R56" i="10" s="1"/>
  <c r="M55" i="10"/>
  <c r="I56" i="10" a="1"/>
  <c r="I56" i="10" s="1"/>
  <c r="S56" i="10" s="1"/>
  <c r="N55" i="10"/>
  <c r="J56" i="10" a="1"/>
  <c r="J56" i="10" s="1"/>
  <c r="T56" i="10" s="1"/>
  <c r="O55" i="10"/>
  <c r="K56" i="10" a="1"/>
  <c r="K56" i="10" s="1"/>
  <c r="U56" i="10" s="1"/>
  <c r="P55" i="10"/>
  <c r="G56" i="10" a="1"/>
  <c r="G56" i="10" s="1"/>
  <c r="Q56" i="10" s="1"/>
  <c r="L55" i="10"/>
  <c r="G57" i="10" l="1" a="1"/>
  <c r="G57" i="10" s="1"/>
  <c r="Q57" i="10" s="1"/>
  <c r="L56" i="10"/>
  <c r="K57" i="10" a="1"/>
  <c r="K57" i="10" s="1"/>
  <c r="U57" i="10" s="1"/>
  <c r="P56" i="10"/>
  <c r="J57" i="10" a="1"/>
  <c r="J57" i="10" s="1"/>
  <c r="T57" i="10" s="1"/>
  <c r="O56" i="10"/>
  <c r="I57" i="10" a="1"/>
  <c r="I57" i="10" s="1"/>
  <c r="S57" i="10" s="1"/>
  <c r="N56" i="10"/>
  <c r="H57" i="10" a="1"/>
  <c r="H57" i="10" s="1"/>
  <c r="R57" i="10" s="1"/>
  <c r="M56" i="10"/>
  <c r="H58" i="10" l="1" a="1"/>
  <c r="H58" i="10" s="1"/>
  <c r="R58" i="10" s="1"/>
  <c r="M57" i="10"/>
  <c r="I58" i="10" a="1"/>
  <c r="I58" i="10" s="1"/>
  <c r="S58" i="10" s="1"/>
  <c r="N57" i="10"/>
  <c r="J58" i="10" a="1"/>
  <c r="J58" i="10" s="1"/>
  <c r="T58" i="10" s="1"/>
  <c r="O57" i="10"/>
  <c r="K58" i="10" a="1"/>
  <c r="K58" i="10" s="1"/>
  <c r="U58" i="10" s="1"/>
  <c r="P57" i="10"/>
  <c r="G58" i="10" a="1"/>
  <c r="G58" i="10" s="1"/>
  <c r="Q58" i="10" s="1"/>
  <c r="L57" i="10"/>
  <c r="G59" i="10" l="1" a="1"/>
  <c r="G59" i="10" s="1"/>
  <c r="Q59" i="10" s="1"/>
  <c r="L58" i="10"/>
  <c r="K59" i="10" a="1"/>
  <c r="K59" i="10" s="1"/>
  <c r="U59" i="10" s="1"/>
  <c r="P58" i="10"/>
  <c r="J59" i="10" a="1"/>
  <c r="J59" i="10" s="1"/>
  <c r="T59" i="10" s="1"/>
  <c r="O58" i="10"/>
  <c r="I59" i="10" a="1"/>
  <c r="I59" i="10" s="1"/>
  <c r="S59" i="10" s="1"/>
  <c r="N58" i="10"/>
  <c r="H59" i="10" a="1"/>
  <c r="H59" i="10" s="1"/>
  <c r="R59" i="10" s="1"/>
  <c r="M58" i="10"/>
  <c r="H60" i="10" l="1" a="1"/>
  <c r="H60" i="10" s="1"/>
  <c r="R60" i="10" s="1"/>
  <c r="M59" i="10"/>
  <c r="I60" i="10" a="1"/>
  <c r="I60" i="10" s="1"/>
  <c r="S60" i="10" s="1"/>
  <c r="N59" i="10"/>
  <c r="J60" i="10" a="1"/>
  <c r="J60" i="10" s="1"/>
  <c r="T60" i="10" s="1"/>
  <c r="O59" i="10"/>
  <c r="K60" i="10" a="1"/>
  <c r="K60" i="10" s="1"/>
  <c r="U60" i="10" s="1"/>
  <c r="P59" i="10"/>
  <c r="G60" i="10" a="1"/>
  <c r="G60" i="10" s="1"/>
  <c r="Q60" i="10" s="1"/>
  <c r="L59" i="10"/>
  <c r="G61" i="10" l="1" a="1"/>
  <c r="G61" i="10" s="1"/>
  <c r="Q61" i="10" s="1"/>
  <c r="L60" i="10"/>
  <c r="K61" i="10" a="1"/>
  <c r="K61" i="10" s="1"/>
  <c r="U61" i="10" s="1"/>
  <c r="P60" i="10"/>
  <c r="J61" i="10" a="1"/>
  <c r="J61" i="10" s="1"/>
  <c r="T61" i="10" s="1"/>
  <c r="O60" i="10"/>
  <c r="I61" i="10" a="1"/>
  <c r="I61" i="10" s="1"/>
  <c r="S61" i="10" s="1"/>
  <c r="N60" i="10"/>
  <c r="H61" i="10" a="1"/>
  <c r="H61" i="10" s="1"/>
  <c r="R61" i="10" s="1"/>
  <c r="M60" i="10"/>
  <c r="H62" i="10" l="1" a="1"/>
  <c r="H62" i="10" s="1"/>
  <c r="R62" i="10" s="1"/>
  <c r="M61" i="10"/>
  <c r="I62" i="10" a="1"/>
  <c r="I62" i="10" s="1"/>
  <c r="S62" i="10" s="1"/>
  <c r="N61" i="10"/>
  <c r="J62" i="10" a="1"/>
  <c r="J62" i="10" s="1"/>
  <c r="T62" i="10" s="1"/>
  <c r="O61" i="10"/>
  <c r="K62" i="10" a="1"/>
  <c r="K62" i="10" s="1"/>
  <c r="U62" i="10" s="1"/>
  <c r="P61" i="10"/>
  <c r="G62" i="10" a="1"/>
  <c r="G62" i="10" s="1"/>
  <c r="Q62" i="10" s="1"/>
  <c r="L61" i="10"/>
  <c r="G63" i="10" l="1" a="1"/>
  <c r="G63" i="10" s="1"/>
  <c r="Q63" i="10" s="1"/>
  <c r="L62" i="10"/>
  <c r="K63" i="10" a="1"/>
  <c r="K63" i="10" s="1"/>
  <c r="U63" i="10" s="1"/>
  <c r="P62" i="10"/>
  <c r="J63" i="10" a="1"/>
  <c r="J63" i="10" s="1"/>
  <c r="T63" i="10" s="1"/>
  <c r="O62" i="10"/>
  <c r="I63" i="10" a="1"/>
  <c r="I63" i="10" s="1"/>
  <c r="S63" i="10" s="1"/>
  <c r="N62" i="10"/>
  <c r="H63" i="10" a="1"/>
  <c r="H63" i="10" s="1"/>
  <c r="R63" i="10" s="1"/>
  <c r="M62" i="10"/>
  <c r="H64" i="10" l="1" a="1"/>
  <c r="H64" i="10" s="1"/>
  <c r="R64" i="10" s="1"/>
  <c r="M63" i="10"/>
  <c r="I64" i="10" a="1"/>
  <c r="I64" i="10" s="1"/>
  <c r="S64" i="10" s="1"/>
  <c r="N63" i="10"/>
  <c r="J64" i="10" a="1"/>
  <c r="J64" i="10" s="1"/>
  <c r="T64" i="10" s="1"/>
  <c r="O63" i="10"/>
  <c r="K64" i="10" a="1"/>
  <c r="K64" i="10" s="1"/>
  <c r="U64" i="10" s="1"/>
  <c r="P63" i="10"/>
  <c r="G64" i="10" a="1"/>
  <c r="G64" i="10" s="1"/>
  <c r="Q64" i="10" s="1"/>
  <c r="L63" i="10"/>
  <c r="G65" i="10" l="1" a="1"/>
  <c r="G65" i="10" s="1"/>
  <c r="Q65" i="10" s="1"/>
  <c r="L64" i="10"/>
  <c r="K65" i="10" a="1"/>
  <c r="K65" i="10" s="1"/>
  <c r="U65" i="10" s="1"/>
  <c r="P64" i="10"/>
  <c r="J65" i="10" a="1"/>
  <c r="J65" i="10" s="1"/>
  <c r="T65" i="10" s="1"/>
  <c r="O64" i="10"/>
  <c r="I65" i="10" a="1"/>
  <c r="I65" i="10" s="1"/>
  <c r="S65" i="10" s="1"/>
  <c r="N64" i="10"/>
  <c r="H65" i="10" a="1"/>
  <c r="H65" i="10" s="1"/>
  <c r="R65" i="10" s="1"/>
  <c r="M64" i="10"/>
  <c r="H66" i="10" l="1" a="1"/>
  <c r="H66" i="10" s="1"/>
  <c r="R66" i="10" s="1"/>
  <c r="M65" i="10"/>
  <c r="I66" i="10" a="1"/>
  <c r="I66" i="10" s="1"/>
  <c r="S66" i="10" s="1"/>
  <c r="N65" i="10"/>
  <c r="J66" i="10" a="1"/>
  <c r="J66" i="10" s="1"/>
  <c r="T66" i="10" s="1"/>
  <c r="O65" i="10"/>
  <c r="K66" i="10" a="1"/>
  <c r="K66" i="10" s="1"/>
  <c r="U66" i="10" s="1"/>
  <c r="P65" i="10"/>
  <c r="G66" i="10" a="1"/>
  <c r="G66" i="10" s="1"/>
  <c r="Q66" i="10" s="1"/>
  <c r="L65" i="10"/>
  <c r="G67" i="10" l="1" a="1"/>
  <c r="G67" i="10" s="1"/>
  <c r="Q67" i="10" s="1"/>
  <c r="L66" i="10"/>
  <c r="K67" i="10" a="1"/>
  <c r="K67" i="10" s="1"/>
  <c r="U67" i="10" s="1"/>
  <c r="P66" i="10"/>
  <c r="J67" i="10" a="1"/>
  <c r="J67" i="10" s="1"/>
  <c r="T67" i="10" s="1"/>
  <c r="O66" i="10"/>
  <c r="I67" i="10" a="1"/>
  <c r="I67" i="10" s="1"/>
  <c r="S67" i="10" s="1"/>
  <c r="N66" i="10"/>
  <c r="H67" i="10" a="1"/>
  <c r="H67" i="10" s="1"/>
  <c r="R67" i="10" s="1"/>
  <c r="M66" i="10"/>
  <c r="H68" i="10" l="1" a="1"/>
  <c r="H68" i="10" s="1"/>
  <c r="R68" i="10" s="1"/>
  <c r="M67" i="10"/>
  <c r="I68" i="10" a="1"/>
  <c r="I68" i="10" s="1"/>
  <c r="S68" i="10" s="1"/>
  <c r="N67" i="10"/>
  <c r="J68" i="10" a="1"/>
  <c r="J68" i="10" s="1"/>
  <c r="T68" i="10" s="1"/>
  <c r="O67" i="10"/>
  <c r="K68" i="10" a="1"/>
  <c r="K68" i="10" s="1"/>
  <c r="U68" i="10" s="1"/>
  <c r="P67" i="10"/>
  <c r="G68" i="10" a="1"/>
  <c r="G68" i="10" s="1"/>
  <c r="Q68" i="10" s="1"/>
  <c r="L67" i="10"/>
  <c r="G69" i="10" l="1" a="1"/>
  <c r="G69" i="10" s="1"/>
  <c r="Q69" i="10" s="1"/>
  <c r="L68" i="10"/>
  <c r="K69" i="10" a="1"/>
  <c r="K69" i="10" s="1"/>
  <c r="U69" i="10" s="1"/>
  <c r="P68" i="10"/>
  <c r="J69" i="10" a="1"/>
  <c r="J69" i="10" s="1"/>
  <c r="T69" i="10" s="1"/>
  <c r="O68" i="10"/>
  <c r="I69" i="10" a="1"/>
  <c r="I69" i="10" s="1"/>
  <c r="S69" i="10" s="1"/>
  <c r="N68" i="10"/>
  <c r="H69" i="10" a="1"/>
  <c r="H69" i="10" s="1"/>
  <c r="R69" i="10" s="1"/>
  <c r="M68" i="10"/>
  <c r="H70" i="10" l="1" a="1"/>
  <c r="H70" i="10" s="1"/>
  <c r="R70" i="10" s="1"/>
  <c r="M69" i="10"/>
  <c r="I70" i="10" a="1"/>
  <c r="I70" i="10" s="1"/>
  <c r="S70" i="10" s="1"/>
  <c r="N69" i="10"/>
  <c r="J70" i="10" a="1"/>
  <c r="J70" i="10" s="1"/>
  <c r="T70" i="10" s="1"/>
  <c r="O69" i="10"/>
  <c r="K70" i="10" a="1"/>
  <c r="K70" i="10" s="1"/>
  <c r="U70" i="10" s="1"/>
  <c r="P69" i="10"/>
  <c r="G70" i="10" a="1"/>
  <c r="G70" i="10" s="1"/>
  <c r="Q70" i="10" s="1"/>
  <c r="L69" i="10"/>
  <c r="G71" i="10" l="1" a="1"/>
  <c r="G71" i="10" s="1"/>
  <c r="Q71" i="10" s="1"/>
  <c r="L70" i="10"/>
  <c r="K71" i="10" a="1"/>
  <c r="K71" i="10" s="1"/>
  <c r="U71" i="10" s="1"/>
  <c r="P70" i="10"/>
  <c r="J71" i="10" a="1"/>
  <c r="J71" i="10" s="1"/>
  <c r="T71" i="10" s="1"/>
  <c r="O70" i="10"/>
  <c r="I71" i="10" a="1"/>
  <c r="I71" i="10" s="1"/>
  <c r="S71" i="10" s="1"/>
  <c r="N70" i="10"/>
  <c r="H71" i="10" a="1"/>
  <c r="H71" i="10" s="1"/>
  <c r="R71" i="10" s="1"/>
  <c r="M70" i="10"/>
  <c r="H72" i="10" l="1" a="1"/>
  <c r="H72" i="10" s="1"/>
  <c r="R72" i="10" s="1"/>
  <c r="M71" i="10"/>
  <c r="I72" i="10" a="1"/>
  <c r="I72" i="10" s="1"/>
  <c r="S72" i="10" s="1"/>
  <c r="N71" i="10"/>
  <c r="J72" i="10" a="1"/>
  <c r="J72" i="10" s="1"/>
  <c r="T72" i="10" s="1"/>
  <c r="O71" i="10"/>
  <c r="K72" i="10" a="1"/>
  <c r="K72" i="10" s="1"/>
  <c r="U72" i="10" s="1"/>
  <c r="P71" i="10"/>
  <c r="G72" i="10" a="1"/>
  <c r="G72" i="10" s="1"/>
  <c r="Q72" i="10" s="1"/>
  <c r="L71" i="10"/>
  <c r="G73" i="10" l="1" a="1"/>
  <c r="G73" i="10" s="1"/>
  <c r="Q73" i="10" s="1"/>
  <c r="L72" i="10"/>
  <c r="K73" i="10" a="1"/>
  <c r="K73" i="10" s="1"/>
  <c r="U73" i="10" s="1"/>
  <c r="P72" i="10"/>
  <c r="J73" i="10" a="1"/>
  <c r="J73" i="10" s="1"/>
  <c r="T73" i="10" s="1"/>
  <c r="O72" i="10"/>
  <c r="I73" i="10" a="1"/>
  <c r="I73" i="10" s="1"/>
  <c r="S73" i="10" s="1"/>
  <c r="N72" i="10"/>
  <c r="H73" i="10" a="1"/>
  <c r="H73" i="10" s="1"/>
  <c r="R73" i="10" s="1"/>
  <c r="M72" i="10"/>
  <c r="H74" i="10" l="1" a="1"/>
  <c r="H74" i="10" s="1"/>
  <c r="R74" i="10" s="1"/>
  <c r="M73" i="10"/>
  <c r="I74" i="10" a="1"/>
  <c r="I74" i="10" s="1"/>
  <c r="S74" i="10" s="1"/>
  <c r="N73" i="10"/>
  <c r="J74" i="10" a="1"/>
  <c r="J74" i="10" s="1"/>
  <c r="T74" i="10" s="1"/>
  <c r="O73" i="10"/>
  <c r="K74" i="10" a="1"/>
  <c r="K74" i="10" s="1"/>
  <c r="U74" i="10" s="1"/>
  <c r="P73" i="10"/>
  <c r="G74" i="10" a="1"/>
  <c r="G74" i="10" s="1"/>
  <c r="Q74" i="10" s="1"/>
  <c r="L73" i="10"/>
  <c r="G75" i="10" l="1" a="1"/>
  <c r="G75" i="10" s="1"/>
  <c r="Q75" i="10" s="1"/>
  <c r="L74" i="10"/>
  <c r="K75" i="10" a="1"/>
  <c r="K75" i="10" s="1"/>
  <c r="U75" i="10" s="1"/>
  <c r="P74" i="10"/>
  <c r="J75" i="10" a="1"/>
  <c r="J75" i="10" s="1"/>
  <c r="T75" i="10" s="1"/>
  <c r="O74" i="10"/>
  <c r="I75" i="10" a="1"/>
  <c r="I75" i="10" s="1"/>
  <c r="S75" i="10" s="1"/>
  <c r="N74" i="10"/>
  <c r="H75" i="10" a="1"/>
  <c r="H75" i="10" s="1"/>
  <c r="R75" i="10" s="1"/>
  <c r="M74" i="10"/>
  <c r="H76" i="10" l="1" a="1"/>
  <c r="H76" i="10" s="1"/>
  <c r="R76" i="10" s="1"/>
  <c r="M75" i="10"/>
  <c r="I76" i="10" a="1"/>
  <c r="I76" i="10" s="1"/>
  <c r="S76" i="10" s="1"/>
  <c r="N75" i="10"/>
  <c r="J76" i="10" a="1"/>
  <c r="J76" i="10" s="1"/>
  <c r="T76" i="10" s="1"/>
  <c r="O75" i="10"/>
  <c r="K76" i="10" a="1"/>
  <c r="K76" i="10" s="1"/>
  <c r="U76" i="10" s="1"/>
  <c r="P75" i="10"/>
  <c r="G76" i="10" a="1"/>
  <c r="G76" i="10" s="1"/>
  <c r="Q76" i="10" s="1"/>
  <c r="L75" i="10"/>
  <c r="G77" i="10" l="1" a="1"/>
  <c r="G77" i="10" s="1"/>
  <c r="Q77" i="10" s="1"/>
  <c r="L76" i="10"/>
  <c r="K77" i="10" a="1"/>
  <c r="K77" i="10" s="1"/>
  <c r="U77" i="10" s="1"/>
  <c r="P76" i="10"/>
  <c r="J77" i="10" a="1"/>
  <c r="J77" i="10" s="1"/>
  <c r="T77" i="10" s="1"/>
  <c r="O76" i="10"/>
  <c r="I77" i="10" a="1"/>
  <c r="I77" i="10" s="1"/>
  <c r="S77" i="10" s="1"/>
  <c r="N76" i="10"/>
  <c r="H77" i="10" a="1"/>
  <c r="H77" i="10" s="1"/>
  <c r="R77" i="10" s="1"/>
  <c r="M76" i="10"/>
  <c r="H78" i="10" l="1" a="1"/>
  <c r="H78" i="10" s="1"/>
  <c r="R78" i="10" s="1"/>
  <c r="M77" i="10"/>
  <c r="I78" i="10" a="1"/>
  <c r="I78" i="10" s="1"/>
  <c r="S78" i="10" s="1"/>
  <c r="N77" i="10"/>
  <c r="J78" i="10" a="1"/>
  <c r="J78" i="10" s="1"/>
  <c r="T78" i="10" s="1"/>
  <c r="O77" i="10"/>
  <c r="K78" i="10" a="1"/>
  <c r="K78" i="10" s="1"/>
  <c r="U78" i="10" s="1"/>
  <c r="P77" i="10"/>
  <c r="G78" i="10" a="1"/>
  <c r="G78" i="10" s="1"/>
  <c r="Q78" i="10" s="1"/>
  <c r="L77" i="10"/>
  <c r="G79" i="10" l="1" a="1"/>
  <c r="G79" i="10" s="1"/>
  <c r="Q79" i="10" s="1"/>
  <c r="L78" i="10"/>
  <c r="K79" i="10" a="1"/>
  <c r="K79" i="10" s="1"/>
  <c r="U79" i="10" s="1"/>
  <c r="P78" i="10"/>
  <c r="J79" i="10" a="1"/>
  <c r="J79" i="10" s="1"/>
  <c r="T79" i="10" s="1"/>
  <c r="O78" i="10"/>
  <c r="I79" i="10" a="1"/>
  <c r="I79" i="10" s="1"/>
  <c r="S79" i="10" s="1"/>
  <c r="N78" i="10"/>
  <c r="H79" i="10" a="1"/>
  <c r="H79" i="10" s="1"/>
  <c r="R79" i="10" s="1"/>
  <c r="M78" i="10"/>
  <c r="H80" i="10" l="1" a="1"/>
  <c r="H80" i="10" s="1"/>
  <c r="R80" i="10" s="1"/>
  <c r="M79" i="10"/>
  <c r="I80" i="10" a="1"/>
  <c r="I80" i="10" s="1"/>
  <c r="S80" i="10" s="1"/>
  <c r="N79" i="10"/>
  <c r="J80" i="10" a="1"/>
  <c r="J80" i="10" s="1"/>
  <c r="T80" i="10" s="1"/>
  <c r="O79" i="10"/>
  <c r="K80" i="10" a="1"/>
  <c r="K80" i="10" s="1"/>
  <c r="U80" i="10" s="1"/>
  <c r="P79" i="10"/>
  <c r="G80" i="10" a="1"/>
  <c r="G80" i="10" s="1"/>
  <c r="Q80" i="10" s="1"/>
  <c r="L79" i="10"/>
  <c r="G81" i="10" l="1" a="1"/>
  <c r="G81" i="10" s="1"/>
  <c r="Q81" i="10" s="1"/>
  <c r="L80" i="10"/>
  <c r="K81" i="10" a="1"/>
  <c r="K81" i="10" s="1"/>
  <c r="U81" i="10" s="1"/>
  <c r="P80" i="10"/>
  <c r="J81" i="10" a="1"/>
  <c r="J81" i="10" s="1"/>
  <c r="T81" i="10" s="1"/>
  <c r="O80" i="10"/>
  <c r="I81" i="10" a="1"/>
  <c r="I81" i="10" s="1"/>
  <c r="S81" i="10" s="1"/>
  <c r="N80" i="10"/>
  <c r="H81" i="10" a="1"/>
  <c r="H81" i="10" s="1"/>
  <c r="R81" i="10" s="1"/>
  <c r="M80" i="10"/>
  <c r="H82" i="10" l="1" a="1"/>
  <c r="H82" i="10" s="1"/>
  <c r="R82" i="10" s="1"/>
  <c r="M81" i="10"/>
  <c r="I82" i="10" a="1"/>
  <c r="I82" i="10" s="1"/>
  <c r="S82" i="10" s="1"/>
  <c r="N81" i="10"/>
  <c r="J82" i="10" a="1"/>
  <c r="J82" i="10" s="1"/>
  <c r="T82" i="10" s="1"/>
  <c r="O81" i="10"/>
  <c r="K82" i="10" a="1"/>
  <c r="K82" i="10" s="1"/>
  <c r="U82" i="10" s="1"/>
  <c r="P81" i="10"/>
  <c r="G82" i="10" a="1"/>
  <c r="G82" i="10" s="1"/>
  <c r="Q82" i="10" s="1"/>
  <c r="L81" i="10"/>
  <c r="G83" i="10" l="1" a="1"/>
  <c r="G83" i="10" s="1"/>
  <c r="Q83" i="10" s="1"/>
  <c r="L82" i="10"/>
  <c r="K83" i="10" a="1"/>
  <c r="K83" i="10" s="1"/>
  <c r="U83" i="10" s="1"/>
  <c r="P82" i="10"/>
  <c r="J83" i="10" a="1"/>
  <c r="J83" i="10" s="1"/>
  <c r="T83" i="10" s="1"/>
  <c r="O82" i="10"/>
  <c r="I83" i="10" a="1"/>
  <c r="I83" i="10" s="1"/>
  <c r="S83" i="10" s="1"/>
  <c r="N82" i="10"/>
  <c r="H83" i="10" a="1"/>
  <c r="H83" i="10" s="1"/>
  <c r="R83" i="10" s="1"/>
  <c r="M82" i="10"/>
  <c r="H84" i="10" l="1" a="1"/>
  <c r="H84" i="10" s="1"/>
  <c r="R84" i="10" s="1"/>
  <c r="M83" i="10"/>
  <c r="I84" i="10" a="1"/>
  <c r="I84" i="10" s="1"/>
  <c r="S84" i="10" s="1"/>
  <c r="N83" i="10"/>
  <c r="J84" i="10" a="1"/>
  <c r="J84" i="10" s="1"/>
  <c r="T84" i="10" s="1"/>
  <c r="O83" i="10"/>
  <c r="K84" i="10" a="1"/>
  <c r="K84" i="10" s="1"/>
  <c r="U84" i="10" s="1"/>
  <c r="P83" i="10"/>
  <c r="G84" i="10" a="1"/>
  <c r="G84" i="10" s="1"/>
  <c r="Q84" i="10" s="1"/>
  <c r="L83" i="10"/>
  <c r="G85" i="10" l="1" a="1"/>
  <c r="G85" i="10" s="1"/>
  <c r="Q85" i="10" s="1"/>
  <c r="L84" i="10"/>
  <c r="K85" i="10" a="1"/>
  <c r="K85" i="10" s="1"/>
  <c r="U85" i="10" s="1"/>
  <c r="P84" i="10"/>
  <c r="J85" i="10" a="1"/>
  <c r="J85" i="10" s="1"/>
  <c r="T85" i="10" s="1"/>
  <c r="O84" i="10"/>
  <c r="I85" i="10" a="1"/>
  <c r="I85" i="10" s="1"/>
  <c r="S85" i="10" s="1"/>
  <c r="N84" i="10"/>
  <c r="H85" i="10" a="1"/>
  <c r="H85" i="10" s="1"/>
  <c r="R85" i="10" s="1"/>
  <c r="M84" i="10"/>
  <c r="H86" i="10" l="1" a="1"/>
  <c r="H86" i="10" s="1"/>
  <c r="R86" i="10" s="1"/>
  <c r="M85" i="10"/>
  <c r="I86" i="10" a="1"/>
  <c r="I86" i="10" s="1"/>
  <c r="S86" i="10" s="1"/>
  <c r="N85" i="10"/>
  <c r="J86" i="10" a="1"/>
  <c r="J86" i="10" s="1"/>
  <c r="T86" i="10" s="1"/>
  <c r="O85" i="10"/>
  <c r="K86" i="10" a="1"/>
  <c r="K86" i="10" s="1"/>
  <c r="U86" i="10" s="1"/>
  <c r="P85" i="10"/>
  <c r="G86" i="10" a="1"/>
  <c r="G86" i="10" s="1"/>
  <c r="Q86" i="10" s="1"/>
  <c r="L85" i="10"/>
  <c r="G87" i="10" l="1" a="1"/>
  <c r="G87" i="10" s="1"/>
  <c r="Q87" i="10" s="1"/>
  <c r="L86" i="10"/>
  <c r="K87" i="10" a="1"/>
  <c r="K87" i="10" s="1"/>
  <c r="U87" i="10" s="1"/>
  <c r="P86" i="10"/>
  <c r="J87" i="10" a="1"/>
  <c r="J87" i="10" s="1"/>
  <c r="T87" i="10" s="1"/>
  <c r="O86" i="10"/>
  <c r="I87" i="10" a="1"/>
  <c r="I87" i="10" s="1"/>
  <c r="S87" i="10" s="1"/>
  <c r="N86" i="10"/>
  <c r="H87" i="10" a="1"/>
  <c r="H87" i="10" s="1"/>
  <c r="R87" i="10" s="1"/>
  <c r="M86" i="10"/>
  <c r="H88" i="10" l="1" a="1"/>
  <c r="H88" i="10" s="1"/>
  <c r="R88" i="10" s="1"/>
  <c r="M87" i="10"/>
  <c r="I88" i="10" a="1"/>
  <c r="I88" i="10" s="1"/>
  <c r="S88" i="10" s="1"/>
  <c r="N87" i="10"/>
  <c r="J88" i="10" a="1"/>
  <c r="J88" i="10" s="1"/>
  <c r="T88" i="10" s="1"/>
  <c r="O87" i="10"/>
  <c r="K88" i="10" a="1"/>
  <c r="K88" i="10" s="1"/>
  <c r="U88" i="10" s="1"/>
  <c r="P87" i="10"/>
  <c r="G88" i="10" a="1"/>
  <c r="G88" i="10" s="1"/>
  <c r="Q88" i="10" s="1"/>
  <c r="L87" i="10"/>
  <c r="G89" i="10" l="1" a="1"/>
  <c r="G89" i="10" s="1"/>
  <c r="Q89" i="10" s="1"/>
  <c r="L88" i="10"/>
  <c r="K89" i="10" a="1"/>
  <c r="K89" i="10" s="1"/>
  <c r="U89" i="10" s="1"/>
  <c r="P88" i="10"/>
  <c r="J89" i="10" a="1"/>
  <c r="J89" i="10" s="1"/>
  <c r="T89" i="10" s="1"/>
  <c r="O88" i="10"/>
  <c r="I89" i="10" a="1"/>
  <c r="I89" i="10" s="1"/>
  <c r="S89" i="10" s="1"/>
  <c r="N88" i="10"/>
  <c r="H89" i="10" a="1"/>
  <c r="H89" i="10" s="1"/>
  <c r="R89" i="10" s="1"/>
  <c r="M88" i="10"/>
  <c r="H90" i="10" l="1" a="1"/>
  <c r="H90" i="10" s="1"/>
  <c r="R90" i="10" s="1"/>
  <c r="M89" i="10"/>
  <c r="I90" i="10" a="1"/>
  <c r="I90" i="10" s="1"/>
  <c r="S90" i="10" s="1"/>
  <c r="N89" i="10"/>
  <c r="J90" i="10" a="1"/>
  <c r="J90" i="10" s="1"/>
  <c r="T90" i="10" s="1"/>
  <c r="O89" i="10"/>
  <c r="K90" i="10" a="1"/>
  <c r="K90" i="10" s="1"/>
  <c r="U90" i="10" s="1"/>
  <c r="P89" i="10"/>
  <c r="G90" i="10" a="1"/>
  <c r="G90" i="10" s="1"/>
  <c r="Q90" i="10" s="1"/>
  <c r="L89" i="10"/>
  <c r="G91" i="10" l="1" a="1"/>
  <c r="G91" i="10" s="1"/>
  <c r="Q91" i="10" s="1"/>
  <c r="L90" i="10"/>
  <c r="K91" i="10" a="1"/>
  <c r="K91" i="10" s="1"/>
  <c r="U91" i="10" s="1"/>
  <c r="P90" i="10"/>
  <c r="J91" i="10" a="1"/>
  <c r="J91" i="10" s="1"/>
  <c r="T91" i="10" s="1"/>
  <c r="O90" i="10"/>
  <c r="I91" i="10" a="1"/>
  <c r="I91" i="10" s="1"/>
  <c r="S91" i="10" s="1"/>
  <c r="N90" i="10"/>
  <c r="H91" i="10" a="1"/>
  <c r="H91" i="10" s="1"/>
  <c r="R91" i="10" s="1"/>
  <c r="M90" i="10"/>
  <c r="H92" i="10" l="1" a="1"/>
  <c r="H92" i="10" s="1"/>
  <c r="R92" i="10" s="1"/>
  <c r="M91" i="10"/>
  <c r="I92" i="10" a="1"/>
  <c r="I92" i="10" s="1"/>
  <c r="S92" i="10" s="1"/>
  <c r="N91" i="10"/>
  <c r="J92" i="10" a="1"/>
  <c r="J92" i="10" s="1"/>
  <c r="T92" i="10" s="1"/>
  <c r="O91" i="10"/>
  <c r="K92" i="10" a="1"/>
  <c r="K92" i="10" s="1"/>
  <c r="U92" i="10" s="1"/>
  <c r="P91" i="10"/>
  <c r="G92" i="10" a="1"/>
  <c r="G92" i="10" s="1"/>
  <c r="Q92" i="10" s="1"/>
  <c r="L91" i="10"/>
  <c r="G93" i="10" l="1" a="1"/>
  <c r="G93" i="10" s="1"/>
  <c r="Q93" i="10" s="1"/>
  <c r="L92" i="10"/>
  <c r="K93" i="10" a="1"/>
  <c r="K93" i="10" s="1"/>
  <c r="U93" i="10" s="1"/>
  <c r="P92" i="10"/>
  <c r="J93" i="10" a="1"/>
  <c r="J93" i="10" s="1"/>
  <c r="T93" i="10" s="1"/>
  <c r="O92" i="10"/>
  <c r="I93" i="10" a="1"/>
  <c r="I93" i="10" s="1"/>
  <c r="S93" i="10" s="1"/>
  <c r="N92" i="10"/>
  <c r="H93" i="10" a="1"/>
  <c r="H93" i="10" s="1"/>
  <c r="R93" i="10" s="1"/>
  <c r="M92" i="10"/>
  <c r="H94" i="10" l="1" a="1"/>
  <c r="H94" i="10" s="1"/>
  <c r="R94" i="10" s="1"/>
  <c r="M93" i="10"/>
  <c r="I94" i="10" a="1"/>
  <c r="I94" i="10" s="1"/>
  <c r="S94" i="10" s="1"/>
  <c r="N93" i="10"/>
  <c r="J94" i="10" a="1"/>
  <c r="J94" i="10" s="1"/>
  <c r="T94" i="10" s="1"/>
  <c r="O93" i="10"/>
  <c r="K94" i="10" a="1"/>
  <c r="K94" i="10" s="1"/>
  <c r="U94" i="10" s="1"/>
  <c r="P93" i="10"/>
  <c r="G94" i="10" a="1"/>
  <c r="G94" i="10" s="1"/>
  <c r="Q94" i="10" s="1"/>
  <c r="L93" i="10"/>
  <c r="G95" i="10" l="1" a="1"/>
  <c r="G95" i="10" s="1"/>
  <c r="Q95" i="10" s="1"/>
  <c r="L94" i="10"/>
  <c r="K95" i="10" a="1"/>
  <c r="K95" i="10" s="1"/>
  <c r="U95" i="10" s="1"/>
  <c r="P94" i="10"/>
  <c r="J95" i="10" a="1"/>
  <c r="J95" i="10" s="1"/>
  <c r="T95" i="10" s="1"/>
  <c r="O94" i="10"/>
  <c r="I95" i="10" a="1"/>
  <c r="I95" i="10" s="1"/>
  <c r="S95" i="10" s="1"/>
  <c r="N94" i="10"/>
  <c r="H95" i="10" a="1"/>
  <c r="H95" i="10" s="1"/>
  <c r="R95" i="10" s="1"/>
  <c r="M94" i="10"/>
  <c r="H96" i="10" l="1" a="1"/>
  <c r="H96" i="10" s="1"/>
  <c r="R96" i="10" s="1"/>
  <c r="M95" i="10"/>
  <c r="I96" i="10" a="1"/>
  <c r="I96" i="10" s="1"/>
  <c r="S96" i="10" s="1"/>
  <c r="N95" i="10"/>
  <c r="J96" i="10" a="1"/>
  <c r="J96" i="10" s="1"/>
  <c r="T96" i="10" s="1"/>
  <c r="O95" i="10"/>
  <c r="K96" i="10" a="1"/>
  <c r="K96" i="10" s="1"/>
  <c r="U96" i="10" s="1"/>
  <c r="P95" i="10"/>
  <c r="G96" i="10" a="1"/>
  <c r="G96" i="10" s="1"/>
  <c r="Q96" i="10" s="1"/>
  <c r="L95" i="10"/>
  <c r="G97" i="10" l="1" a="1"/>
  <c r="G97" i="10" s="1"/>
  <c r="Q97" i="10" s="1"/>
  <c r="L96" i="10"/>
  <c r="K97" i="10" a="1"/>
  <c r="K97" i="10" s="1"/>
  <c r="U97" i="10" s="1"/>
  <c r="P96" i="10"/>
  <c r="J97" i="10" a="1"/>
  <c r="J97" i="10" s="1"/>
  <c r="T97" i="10" s="1"/>
  <c r="O96" i="10"/>
  <c r="I97" i="10" a="1"/>
  <c r="I97" i="10" s="1"/>
  <c r="S97" i="10" s="1"/>
  <c r="N96" i="10"/>
  <c r="H97" i="10" a="1"/>
  <c r="H97" i="10" s="1"/>
  <c r="R97" i="10" s="1"/>
  <c r="M96" i="10"/>
  <c r="H98" i="10" l="1" a="1"/>
  <c r="H98" i="10" s="1"/>
  <c r="R98" i="10" s="1"/>
  <c r="M97" i="10"/>
  <c r="I98" i="10" a="1"/>
  <c r="I98" i="10" s="1"/>
  <c r="S98" i="10" s="1"/>
  <c r="N97" i="10"/>
  <c r="J98" i="10" a="1"/>
  <c r="J98" i="10" s="1"/>
  <c r="T98" i="10" s="1"/>
  <c r="O97" i="10"/>
  <c r="K98" i="10" a="1"/>
  <c r="K98" i="10" s="1"/>
  <c r="U98" i="10" s="1"/>
  <c r="P97" i="10"/>
  <c r="G98" i="10" a="1"/>
  <c r="G98" i="10" s="1"/>
  <c r="Q98" i="10" s="1"/>
  <c r="L97" i="10"/>
  <c r="G99" i="10" l="1" a="1"/>
  <c r="G99" i="10" s="1"/>
  <c r="Q99" i="10" s="1"/>
  <c r="L98" i="10"/>
  <c r="K99" i="10" a="1"/>
  <c r="K99" i="10" s="1"/>
  <c r="U99" i="10" s="1"/>
  <c r="P98" i="10"/>
  <c r="J99" i="10" a="1"/>
  <c r="J99" i="10" s="1"/>
  <c r="T99" i="10" s="1"/>
  <c r="O98" i="10"/>
  <c r="I99" i="10" a="1"/>
  <c r="I99" i="10" s="1"/>
  <c r="S99" i="10" s="1"/>
  <c r="N98" i="10"/>
  <c r="H99" i="10" a="1"/>
  <c r="H99" i="10" s="1"/>
  <c r="R99" i="10" s="1"/>
  <c r="M98" i="10"/>
  <c r="H100" i="10" l="1" a="1"/>
  <c r="H100" i="10" s="1"/>
  <c r="R100" i="10" s="1"/>
  <c r="M99" i="10"/>
  <c r="I100" i="10" a="1"/>
  <c r="I100" i="10" s="1"/>
  <c r="S100" i="10" s="1"/>
  <c r="N99" i="10"/>
  <c r="J100" i="10" a="1"/>
  <c r="J100" i="10" s="1"/>
  <c r="T100" i="10" s="1"/>
  <c r="O99" i="10"/>
  <c r="K100" i="10" a="1"/>
  <c r="K100" i="10" s="1"/>
  <c r="U100" i="10" s="1"/>
  <c r="P99" i="10"/>
  <c r="G100" i="10" a="1"/>
  <c r="G100" i="10" s="1"/>
  <c r="Q100" i="10" s="1"/>
  <c r="L99" i="10"/>
  <c r="G101" i="10" l="1" a="1"/>
  <c r="G101" i="10" s="1"/>
  <c r="Q101" i="10" s="1"/>
  <c r="L100" i="10"/>
  <c r="K101" i="10" a="1"/>
  <c r="K101" i="10" s="1"/>
  <c r="U101" i="10" s="1"/>
  <c r="P100" i="10"/>
  <c r="J101" i="10" a="1"/>
  <c r="J101" i="10" s="1"/>
  <c r="T101" i="10" s="1"/>
  <c r="O100" i="10"/>
  <c r="I101" i="10" a="1"/>
  <c r="I101" i="10" s="1"/>
  <c r="S101" i="10" s="1"/>
  <c r="N100" i="10"/>
  <c r="H101" i="10" a="1"/>
  <c r="H101" i="10" s="1"/>
  <c r="R101" i="10" s="1"/>
  <c r="M100" i="10"/>
  <c r="H102" i="10" l="1" a="1"/>
  <c r="H102" i="10" s="1"/>
  <c r="R102" i="10" s="1"/>
  <c r="M101" i="10"/>
  <c r="I102" i="10" a="1"/>
  <c r="I102" i="10" s="1"/>
  <c r="S102" i="10" s="1"/>
  <c r="N101" i="10"/>
  <c r="J102" i="10" a="1"/>
  <c r="J102" i="10" s="1"/>
  <c r="T102" i="10" s="1"/>
  <c r="O101" i="10"/>
  <c r="K102" i="10" a="1"/>
  <c r="K102" i="10" s="1"/>
  <c r="U102" i="10" s="1"/>
  <c r="P101" i="10"/>
  <c r="G102" i="10" a="1"/>
  <c r="G102" i="10" s="1"/>
  <c r="Q102" i="10" s="1"/>
  <c r="L101" i="10"/>
  <c r="G103" i="10" l="1" a="1"/>
  <c r="G103" i="10" s="1"/>
  <c r="Q103" i="10" s="1"/>
  <c r="L102" i="10"/>
  <c r="K103" i="10" a="1"/>
  <c r="K103" i="10" s="1"/>
  <c r="U103" i="10" s="1"/>
  <c r="P102" i="10"/>
  <c r="J103" i="10" a="1"/>
  <c r="J103" i="10" s="1"/>
  <c r="T103" i="10" s="1"/>
  <c r="O102" i="10"/>
  <c r="I103" i="10" a="1"/>
  <c r="I103" i="10" s="1"/>
  <c r="S103" i="10" s="1"/>
  <c r="N102" i="10"/>
  <c r="H103" i="10" a="1"/>
  <c r="H103" i="10" s="1"/>
  <c r="R103" i="10" s="1"/>
  <c r="M102" i="10"/>
  <c r="H104" i="10" l="1" a="1"/>
  <c r="H104" i="10" s="1"/>
  <c r="R104" i="10" s="1"/>
  <c r="M103" i="10"/>
  <c r="I104" i="10" a="1"/>
  <c r="I104" i="10" s="1"/>
  <c r="S104" i="10" s="1"/>
  <c r="N103" i="10"/>
  <c r="J104" i="10" a="1"/>
  <c r="J104" i="10" s="1"/>
  <c r="T104" i="10" s="1"/>
  <c r="O103" i="10"/>
  <c r="K104" i="10" a="1"/>
  <c r="K104" i="10" s="1"/>
  <c r="U104" i="10" s="1"/>
  <c r="P103" i="10"/>
  <c r="G104" i="10" a="1"/>
  <c r="G104" i="10" s="1"/>
  <c r="Q104" i="10" s="1"/>
  <c r="L103" i="10"/>
  <c r="G105" i="10" l="1" a="1"/>
  <c r="G105" i="10" s="1"/>
  <c r="Q105" i="10" s="1"/>
  <c r="L104" i="10"/>
  <c r="K105" i="10" a="1"/>
  <c r="K105" i="10" s="1"/>
  <c r="U105" i="10" s="1"/>
  <c r="P104" i="10"/>
  <c r="J105" i="10" a="1"/>
  <c r="J105" i="10" s="1"/>
  <c r="T105" i="10" s="1"/>
  <c r="O104" i="10"/>
  <c r="I105" i="10" a="1"/>
  <c r="I105" i="10" s="1"/>
  <c r="S105" i="10" s="1"/>
  <c r="N104" i="10"/>
  <c r="H105" i="10" a="1"/>
  <c r="H105" i="10" s="1"/>
  <c r="R105" i="10" s="1"/>
  <c r="M104" i="10"/>
  <c r="H106" i="10" l="1" a="1"/>
  <c r="H106" i="10" s="1"/>
  <c r="R106" i="10" s="1"/>
  <c r="M105" i="10"/>
  <c r="I106" i="10" a="1"/>
  <c r="I106" i="10" s="1"/>
  <c r="S106" i="10" s="1"/>
  <c r="N105" i="10"/>
  <c r="J106" i="10" a="1"/>
  <c r="J106" i="10" s="1"/>
  <c r="T106" i="10" s="1"/>
  <c r="O105" i="10"/>
  <c r="K106" i="10" a="1"/>
  <c r="K106" i="10" s="1"/>
  <c r="U106" i="10" s="1"/>
  <c r="P105" i="10"/>
  <c r="G106" i="10" a="1"/>
  <c r="G106" i="10" s="1"/>
  <c r="Q106" i="10" s="1"/>
  <c r="L105" i="10"/>
  <c r="G107" i="10" l="1" a="1"/>
  <c r="G107" i="10" s="1"/>
  <c r="Q107" i="10" s="1"/>
  <c r="L106" i="10"/>
  <c r="K107" i="10" a="1"/>
  <c r="K107" i="10" s="1"/>
  <c r="U107" i="10" s="1"/>
  <c r="P106" i="10"/>
  <c r="J107" i="10" a="1"/>
  <c r="J107" i="10" s="1"/>
  <c r="T107" i="10" s="1"/>
  <c r="O106" i="10"/>
  <c r="I107" i="10" a="1"/>
  <c r="I107" i="10" s="1"/>
  <c r="S107" i="10" s="1"/>
  <c r="N106" i="10"/>
  <c r="H107" i="10" a="1"/>
  <c r="H107" i="10" s="1"/>
  <c r="R107" i="10" s="1"/>
  <c r="M106" i="10"/>
  <c r="H108" i="10" l="1" a="1"/>
  <c r="H108" i="10" s="1"/>
  <c r="R108" i="10" s="1"/>
  <c r="M107" i="10"/>
  <c r="I108" i="10" a="1"/>
  <c r="I108" i="10" s="1"/>
  <c r="S108" i="10" s="1"/>
  <c r="N107" i="10"/>
  <c r="J108" i="10" a="1"/>
  <c r="J108" i="10" s="1"/>
  <c r="T108" i="10" s="1"/>
  <c r="O107" i="10"/>
  <c r="K108" i="10" a="1"/>
  <c r="K108" i="10" s="1"/>
  <c r="U108" i="10" s="1"/>
  <c r="P107" i="10"/>
  <c r="G108" i="10" a="1"/>
  <c r="G108" i="10" s="1"/>
  <c r="Q108" i="10" s="1"/>
  <c r="L107" i="10"/>
  <c r="G109" i="10" l="1" a="1"/>
  <c r="G109" i="10" s="1"/>
  <c r="Q109" i="10" s="1"/>
  <c r="L108" i="10"/>
  <c r="K109" i="10" a="1"/>
  <c r="K109" i="10" s="1"/>
  <c r="U109" i="10" s="1"/>
  <c r="P108" i="10"/>
  <c r="J109" i="10" a="1"/>
  <c r="J109" i="10" s="1"/>
  <c r="T109" i="10" s="1"/>
  <c r="O108" i="10"/>
  <c r="I109" i="10" a="1"/>
  <c r="I109" i="10" s="1"/>
  <c r="S109" i="10" s="1"/>
  <c r="N108" i="10"/>
  <c r="H109" i="10" a="1"/>
  <c r="H109" i="10" s="1"/>
  <c r="R109" i="10" s="1"/>
  <c r="M108" i="10"/>
  <c r="H110" i="10" l="1" a="1"/>
  <c r="H110" i="10" s="1"/>
  <c r="R110" i="10" s="1"/>
  <c r="M109" i="10"/>
  <c r="I110" i="10" a="1"/>
  <c r="I110" i="10" s="1"/>
  <c r="S110" i="10" s="1"/>
  <c r="N109" i="10"/>
  <c r="J110" i="10" a="1"/>
  <c r="J110" i="10" s="1"/>
  <c r="T110" i="10" s="1"/>
  <c r="O109" i="10"/>
  <c r="K110" i="10" a="1"/>
  <c r="K110" i="10" s="1"/>
  <c r="U110" i="10" s="1"/>
  <c r="P109" i="10"/>
  <c r="G110" i="10" a="1"/>
  <c r="G110" i="10" s="1"/>
  <c r="Q110" i="10" s="1"/>
  <c r="L109" i="10"/>
  <c r="G111" i="10" l="1" a="1"/>
  <c r="G111" i="10" s="1"/>
  <c r="Q111" i="10" s="1"/>
  <c r="L110" i="10"/>
  <c r="K111" i="10" a="1"/>
  <c r="K111" i="10" s="1"/>
  <c r="U111" i="10" s="1"/>
  <c r="P110" i="10"/>
  <c r="J111" i="10" a="1"/>
  <c r="J111" i="10" s="1"/>
  <c r="T111" i="10" s="1"/>
  <c r="O110" i="10"/>
  <c r="I111" i="10" a="1"/>
  <c r="I111" i="10" s="1"/>
  <c r="S111" i="10" s="1"/>
  <c r="N110" i="10"/>
  <c r="H111" i="10" a="1"/>
  <c r="H111" i="10" s="1"/>
  <c r="R111" i="10" s="1"/>
  <c r="M110" i="10"/>
  <c r="H112" i="10" l="1" a="1"/>
  <c r="H112" i="10" s="1"/>
  <c r="R112" i="10" s="1"/>
  <c r="M111" i="10"/>
  <c r="I112" i="10" a="1"/>
  <c r="I112" i="10" s="1"/>
  <c r="S112" i="10" s="1"/>
  <c r="N111" i="10"/>
  <c r="J112" i="10" a="1"/>
  <c r="J112" i="10" s="1"/>
  <c r="T112" i="10" s="1"/>
  <c r="O111" i="10"/>
  <c r="K112" i="10" a="1"/>
  <c r="K112" i="10" s="1"/>
  <c r="U112" i="10" s="1"/>
  <c r="P111" i="10"/>
  <c r="G112" i="10" a="1"/>
  <c r="G112" i="10" s="1"/>
  <c r="Q112" i="10" s="1"/>
  <c r="L111" i="10"/>
  <c r="G113" i="10" l="1" a="1"/>
  <c r="G113" i="10" s="1"/>
  <c r="Q113" i="10" s="1"/>
  <c r="L112" i="10"/>
  <c r="K113" i="10" a="1"/>
  <c r="K113" i="10" s="1"/>
  <c r="U113" i="10" s="1"/>
  <c r="P112" i="10"/>
  <c r="J113" i="10" a="1"/>
  <c r="J113" i="10" s="1"/>
  <c r="T113" i="10" s="1"/>
  <c r="O112" i="10"/>
  <c r="I113" i="10" a="1"/>
  <c r="I113" i="10" s="1"/>
  <c r="S113" i="10" s="1"/>
  <c r="N112" i="10"/>
  <c r="H113" i="10" a="1"/>
  <c r="H113" i="10" s="1"/>
  <c r="R113" i="10" s="1"/>
  <c r="M112" i="10"/>
  <c r="H114" i="10" l="1" a="1"/>
  <c r="H114" i="10" s="1"/>
  <c r="R114" i="10" s="1"/>
  <c r="M113" i="10"/>
  <c r="I114" i="10" a="1"/>
  <c r="I114" i="10" s="1"/>
  <c r="S114" i="10" s="1"/>
  <c r="N113" i="10"/>
  <c r="J114" i="10" a="1"/>
  <c r="J114" i="10" s="1"/>
  <c r="T114" i="10" s="1"/>
  <c r="O113" i="10"/>
  <c r="K114" i="10" a="1"/>
  <c r="K114" i="10" s="1"/>
  <c r="U114" i="10" s="1"/>
  <c r="P113" i="10"/>
  <c r="G114" i="10" a="1"/>
  <c r="G114" i="10" s="1"/>
  <c r="Q114" i="10" s="1"/>
  <c r="L113" i="10"/>
  <c r="G115" i="10" l="1" a="1"/>
  <c r="G115" i="10" s="1"/>
  <c r="Q115" i="10" s="1"/>
  <c r="L114" i="10"/>
  <c r="K115" i="10" a="1"/>
  <c r="K115" i="10" s="1"/>
  <c r="U115" i="10" s="1"/>
  <c r="P114" i="10"/>
  <c r="J115" i="10" a="1"/>
  <c r="J115" i="10" s="1"/>
  <c r="T115" i="10" s="1"/>
  <c r="O114" i="10"/>
  <c r="I115" i="10" a="1"/>
  <c r="I115" i="10" s="1"/>
  <c r="S115" i="10" s="1"/>
  <c r="N114" i="10"/>
  <c r="H115" i="10" a="1"/>
  <c r="H115" i="10" s="1"/>
  <c r="R115" i="10" s="1"/>
  <c r="M114" i="10"/>
  <c r="H116" i="10" l="1" a="1"/>
  <c r="H116" i="10" s="1"/>
  <c r="R116" i="10" s="1"/>
  <c r="M115" i="10"/>
  <c r="I116" i="10" a="1"/>
  <c r="I116" i="10" s="1"/>
  <c r="S116" i="10" s="1"/>
  <c r="N115" i="10"/>
  <c r="J116" i="10" a="1"/>
  <c r="J116" i="10" s="1"/>
  <c r="T116" i="10" s="1"/>
  <c r="O115" i="10"/>
  <c r="K116" i="10" a="1"/>
  <c r="K116" i="10" s="1"/>
  <c r="U116" i="10" s="1"/>
  <c r="P115" i="10"/>
  <c r="G116" i="10" a="1"/>
  <c r="G116" i="10" s="1"/>
  <c r="Q116" i="10" s="1"/>
  <c r="L115" i="10"/>
  <c r="G117" i="10" l="1" a="1"/>
  <c r="G117" i="10" s="1"/>
  <c r="Q117" i="10" s="1"/>
  <c r="L116" i="10"/>
  <c r="K117" i="10" a="1"/>
  <c r="K117" i="10" s="1"/>
  <c r="U117" i="10" s="1"/>
  <c r="P116" i="10"/>
  <c r="J117" i="10" a="1"/>
  <c r="J117" i="10" s="1"/>
  <c r="T117" i="10" s="1"/>
  <c r="O116" i="10"/>
  <c r="I117" i="10" a="1"/>
  <c r="I117" i="10" s="1"/>
  <c r="S117" i="10" s="1"/>
  <c r="N116" i="10"/>
  <c r="H117" i="10" a="1"/>
  <c r="H117" i="10" s="1"/>
  <c r="R117" i="10" s="1"/>
  <c r="M116" i="10"/>
  <c r="H118" i="10" l="1" a="1"/>
  <c r="H118" i="10" s="1"/>
  <c r="R118" i="10" s="1"/>
  <c r="M117" i="10"/>
  <c r="I118" i="10" a="1"/>
  <c r="I118" i="10" s="1"/>
  <c r="S118" i="10" s="1"/>
  <c r="N117" i="10"/>
  <c r="J118" i="10" a="1"/>
  <c r="J118" i="10" s="1"/>
  <c r="T118" i="10" s="1"/>
  <c r="O117" i="10"/>
  <c r="K118" i="10" a="1"/>
  <c r="K118" i="10" s="1"/>
  <c r="U118" i="10" s="1"/>
  <c r="P117" i="10"/>
  <c r="G118" i="10" a="1"/>
  <c r="G118" i="10" s="1"/>
  <c r="Q118" i="10" s="1"/>
  <c r="L117" i="10"/>
  <c r="G119" i="10" l="1" a="1"/>
  <c r="G119" i="10" s="1"/>
  <c r="Q119" i="10" s="1"/>
  <c r="L118" i="10"/>
  <c r="K119" i="10" a="1"/>
  <c r="K119" i="10" s="1"/>
  <c r="U119" i="10" s="1"/>
  <c r="P118" i="10"/>
  <c r="J119" i="10" a="1"/>
  <c r="J119" i="10" s="1"/>
  <c r="T119" i="10" s="1"/>
  <c r="O118" i="10"/>
  <c r="I119" i="10" a="1"/>
  <c r="I119" i="10" s="1"/>
  <c r="S119" i="10" s="1"/>
  <c r="N118" i="10"/>
  <c r="H119" i="10" a="1"/>
  <c r="H119" i="10" s="1"/>
  <c r="R119" i="10" s="1"/>
  <c r="M118" i="10"/>
  <c r="H120" i="10" l="1" a="1"/>
  <c r="H120" i="10" s="1"/>
  <c r="R120" i="10" s="1"/>
  <c r="M119" i="10"/>
  <c r="I120" i="10" a="1"/>
  <c r="I120" i="10" s="1"/>
  <c r="S120" i="10" s="1"/>
  <c r="N119" i="10"/>
  <c r="J120" i="10" a="1"/>
  <c r="J120" i="10" s="1"/>
  <c r="T120" i="10" s="1"/>
  <c r="O119" i="10"/>
  <c r="K120" i="10" a="1"/>
  <c r="K120" i="10" s="1"/>
  <c r="U120" i="10" s="1"/>
  <c r="P119" i="10"/>
  <c r="G120" i="10" a="1"/>
  <c r="G120" i="10" s="1"/>
  <c r="Q120" i="10" s="1"/>
  <c r="L119" i="10"/>
  <c r="G121" i="10" l="1" a="1"/>
  <c r="G121" i="10" s="1"/>
  <c r="Q121" i="10" s="1"/>
  <c r="L120" i="10"/>
  <c r="K121" i="10" a="1"/>
  <c r="K121" i="10" s="1"/>
  <c r="U121" i="10" s="1"/>
  <c r="P120" i="10"/>
  <c r="J121" i="10" a="1"/>
  <c r="J121" i="10" s="1"/>
  <c r="T121" i="10" s="1"/>
  <c r="O120" i="10"/>
  <c r="I121" i="10" a="1"/>
  <c r="I121" i="10" s="1"/>
  <c r="S121" i="10" s="1"/>
  <c r="N120" i="10"/>
  <c r="H121" i="10" a="1"/>
  <c r="H121" i="10" s="1"/>
  <c r="R121" i="10" s="1"/>
  <c r="M120" i="10"/>
  <c r="H122" i="10" l="1" a="1"/>
  <c r="H122" i="10" s="1"/>
  <c r="R122" i="10" s="1"/>
  <c r="M121" i="10"/>
  <c r="I122" i="10" a="1"/>
  <c r="I122" i="10" s="1"/>
  <c r="S122" i="10" s="1"/>
  <c r="N121" i="10"/>
  <c r="J122" i="10" a="1"/>
  <c r="J122" i="10" s="1"/>
  <c r="T122" i="10" s="1"/>
  <c r="O121" i="10"/>
  <c r="K122" i="10" a="1"/>
  <c r="K122" i="10" s="1"/>
  <c r="U122" i="10" s="1"/>
  <c r="P121" i="10"/>
  <c r="G122" i="10" a="1"/>
  <c r="G122" i="10" s="1"/>
  <c r="Q122" i="10" s="1"/>
  <c r="L121" i="10"/>
  <c r="G123" i="10" l="1" a="1"/>
  <c r="G123" i="10" s="1"/>
  <c r="Q123" i="10" s="1"/>
  <c r="L122" i="10"/>
  <c r="K123" i="10" a="1"/>
  <c r="K123" i="10" s="1"/>
  <c r="U123" i="10" s="1"/>
  <c r="P122" i="10"/>
  <c r="J123" i="10" a="1"/>
  <c r="J123" i="10" s="1"/>
  <c r="T123" i="10" s="1"/>
  <c r="O122" i="10"/>
  <c r="I123" i="10" a="1"/>
  <c r="I123" i="10" s="1"/>
  <c r="S123" i="10" s="1"/>
  <c r="N122" i="10"/>
  <c r="H123" i="10" a="1"/>
  <c r="H123" i="10" s="1"/>
  <c r="R123" i="10" s="1"/>
  <c r="M122" i="10"/>
  <c r="H124" i="10" l="1" a="1"/>
  <c r="H124" i="10" s="1"/>
  <c r="R124" i="10" s="1"/>
  <c r="M123" i="10"/>
  <c r="I124" i="10" a="1"/>
  <c r="I124" i="10" s="1"/>
  <c r="S124" i="10" s="1"/>
  <c r="N123" i="10"/>
  <c r="J124" i="10" a="1"/>
  <c r="J124" i="10" s="1"/>
  <c r="T124" i="10" s="1"/>
  <c r="O123" i="10"/>
  <c r="K124" i="10" a="1"/>
  <c r="K124" i="10" s="1"/>
  <c r="U124" i="10" s="1"/>
  <c r="P123" i="10"/>
  <c r="G124" i="10" a="1"/>
  <c r="G124" i="10" s="1"/>
  <c r="Q124" i="10" s="1"/>
  <c r="L123" i="10"/>
  <c r="G125" i="10" l="1" a="1"/>
  <c r="G125" i="10" s="1"/>
  <c r="Q125" i="10" s="1"/>
  <c r="L124" i="10"/>
  <c r="K125" i="10" a="1"/>
  <c r="K125" i="10" s="1"/>
  <c r="U125" i="10" s="1"/>
  <c r="P124" i="10"/>
  <c r="J125" i="10" a="1"/>
  <c r="J125" i="10" s="1"/>
  <c r="T125" i="10" s="1"/>
  <c r="O124" i="10"/>
  <c r="I125" i="10" a="1"/>
  <c r="I125" i="10" s="1"/>
  <c r="S125" i="10" s="1"/>
  <c r="N124" i="10"/>
  <c r="H125" i="10" a="1"/>
  <c r="H125" i="10" s="1"/>
  <c r="R125" i="10" s="1"/>
  <c r="M124" i="10"/>
  <c r="H126" i="10" l="1" a="1"/>
  <c r="H126" i="10" s="1"/>
  <c r="R126" i="10" s="1"/>
  <c r="M125" i="10"/>
  <c r="I126" i="10" a="1"/>
  <c r="I126" i="10" s="1"/>
  <c r="S126" i="10" s="1"/>
  <c r="N125" i="10"/>
  <c r="J126" i="10" a="1"/>
  <c r="J126" i="10" s="1"/>
  <c r="T126" i="10" s="1"/>
  <c r="O125" i="10"/>
  <c r="K126" i="10" a="1"/>
  <c r="K126" i="10" s="1"/>
  <c r="U126" i="10" s="1"/>
  <c r="P125" i="10"/>
  <c r="G126" i="10" a="1"/>
  <c r="G126" i="10" s="1"/>
  <c r="Q126" i="10" s="1"/>
  <c r="L125" i="10"/>
  <c r="G127" i="10" l="1" a="1"/>
  <c r="G127" i="10" s="1"/>
  <c r="Q127" i="10" s="1"/>
  <c r="L126" i="10"/>
  <c r="K127" i="10" a="1"/>
  <c r="K127" i="10" s="1"/>
  <c r="U127" i="10" s="1"/>
  <c r="P126" i="10"/>
  <c r="J127" i="10" a="1"/>
  <c r="J127" i="10" s="1"/>
  <c r="T127" i="10" s="1"/>
  <c r="O126" i="10"/>
  <c r="I127" i="10" a="1"/>
  <c r="I127" i="10" s="1"/>
  <c r="S127" i="10" s="1"/>
  <c r="N126" i="10"/>
  <c r="H127" i="10" a="1"/>
  <c r="H127" i="10" s="1"/>
  <c r="R127" i="10" s="1"/>
  <c r="M126" i="10"/>
  <c r="H128" i="10" l="1" a="1"/>
  <c r="H128" i="10" s="1"/>
  <c r="R128" i="10" s="1"/>
  <c r="M127" i="10"/>
  <c r="I128" i="10" a="1"/>
  <c r="I128" i="10" s="1"/>
  <c r="S128" i="10" s="1"/>
  <c r="N127" i="10"/>
  <c r="J128" i="10" a="1"/>
  <c r="J128" i="10" s="1"/>
  <c r="T128" i="10" s="1"/>
  <c r="O127" i="10"/>
  <c r="K128" i="10" a="1"/>
  <c r="K128" i="10" s="1"/>
  <c r="U128" i="10" s="1"/>
  <c r="P127" i="10"/>
  <c r="G128" i="10" a="1"/>
  <c r="G128" i="10" s="1"/>
  <c r="Q128" i="10" s="1"/>
  <c r="L127" i="10"/>
  <c r="G129" i="10" l="1" a="1"/>
  <c r="G129" i="10" s="1"/>
  <c r="Q129" i="10" s="1"/>
  <c r="L128" i="10"/>
  <c r="K129" i="10" a="1"/>
  <c r="K129" i="10" s="1"/>
  <c r="U129" i="10" s="1"/>
  <c r="P128" i="10"/>
  <c r="J129" i="10" a="1"/>
  <c r="J129" i="10" s="1"/>
  <c r="T129" i="10" s="1"/>
  <c r="O128" i="10"/>
  <c r="I129" i="10" a="1"/>
  <c r="I129" i="10" s="1"/>
  <c r="S129" i="10" s="1"/>
  <c r="N128" i="10"/>
  <c r="H129" i="10" a="1"/>
  <c r="H129" i="10" s="1"/>
  <c r="R129" i="10" s="1"/>
  <c r="M128" i="10"/>
  <c r="H130" i="10" l="1" a="1"/>
  <c r="H130" i="10" s="1"/>
  <c r="R130" i="10" s="1"/>
  <c r="M129" i="10"/>
  <c r="I130" i="10" a="1"/>
  <c r="I130" i="10" s="1"/>
  <c r="S130" i="10" s="1"/>
  <c r="N129" i="10"/>
  <c r="J130" i="10" a="1"/>
  <c r="J130" i="10" s="1"/>
  <c r="T130" i="10" s="1"/>
  <c r="O129" i="10"/>
  <c r="K130" i="10" a="1"/>
  <c r="K130" i="10" s="1"/>
  <c r="U130" i="10" s="1"/>
  <c r="P129" i="10"/>
  <c r="G130" i="10" a="1"/>
  <c r="G130" i="10" s="1"/>
  <c r="Q130" i="10" s="1"/>
  <c r="L129" i="10"/>
  <c r="G131" i="10" l="1" a="1"/>
  <c r="G131" i="10" s="1"/>
  <c r="Q131" i="10" s="1"/>
  <c r="L130" i="10"/>
  <c r="K131" i="10" a="1"/>
  <c r="K131" i="10" s="1"/>
  <c r="U131" i="10" s="1"/>
  <c r="P130" i="10"/>
  <c r="J131" i="10" a="1"/>
  <c r="J131" i="10" s="1"/>
  <c r="T131" i="10" s="1"/>
  <c r="O130" i="10"/>
  <c r="I131" i="10" a="1"/>
  <c r="I131" i="10" s="1"/>
  <c r="S131" i="10" s="1"/>
  <c r="N130" i="10"/>
  <c r="H131" i="10" a="1"/>
  <c r="H131" i="10" s="1"/>
  <c r="R131" i="10" s="1"/>
  <c r="M130" i="10"/>
  <c r="H132" i="10" l="1" a="1"/>
  <c r="H132" i="10" s="1"/>
  <c r="R132" i="10" s="1"/>
  <c r="M131" i="10"/>
  <c r="I132" i="10" a="1"/>
  <c r="I132" i="10" s="1"/>
  <c r="S132" i="10" s="1"/>
  <c r="N131" i="10"/>
  <c r="J132" i="10" a="1"/>
  <c r="J132" i="10" s="1"/>
  <c r="T132" i="10" s="1"/>
  <c r="O131" i="10"/>
  <c r="K132" i="10" a="1"/>
  <c r="K132" i="10" s="1"/>
  <c r="U132" i="10" s="1"/>
  <c r="P131" i="10"/>
  <c r="G132" i="10" a="1"/>
  <c r="G132" i="10" s="1"/>
  <c r="Q132" i="10" s="1"/>
  <c r="L131" i="10"/>
  <c r="G133" i="10" l="1" a="1"/>
  <c r="G133" i="10" s="1"/>
  <c r="Q133" i="10" s="1"/>
  <c r="L132" i="10"/>
  <c r="K133" i="10" a="1"/>
  <c r="K133" i="10" s="1"/>
  <c r="U133" i="10" s="1"/>
  <c r="P132" i="10"/>
  <c r="J133" i="10" a="1"/>
  <c r="J133" i="10" s="1"/>
  <c r="T133" i="10" s="1"/>
  <c r="O132" i="10"/>
  <c r="I133" i="10" a="1"/>
  <c r="I133" i="10" s="1"/>
  <c r="S133" i="10" s="1"/>
  <c r="N132" i="10"/>
  <c r="H133" i="10" a="1"/>
  <c r="H133" i="10" s="1"/>
  <c r="R133" i="10" s="1"/>
  <c r="M132" i="10"/>
  <c r="H134" i="10" l="1" a="1"/>
  <c r="H134" i="10" s="1"/>
  <c r="R134" i="10" s="1"/>
  <c r="M133" i="10"/>
  <c r="I134" i="10" a="1"/>
  <c r="I134" i="10" s="1"/>
  <c r="S134" i="10" s="1"/>
  <c r="N133" i="10"/>
  <c r="J134" i="10" a="1"/>
  <c r="J134" i="10" s="1"/>
  <c r="T134" i="10" s="1"/>
  <c r="O133" i="10"/>
  <c r="K134" i="10" a="1"/>
  <c r="K134" i="10" s="1"/>
  <c r="U134" i="10" s="1"/>
  <c r="P133" i="10"/>
  <c r="G134" i="10" a="1"/>
  <c r="G134" i="10" s="1"/>
  <c r="Q134" i="10" s="1"/>
  <c r="L133" i="10"/>
  <c r="G135" i="10" l="1" a="1"/>
  <c r="G135" i="10" s="1"/>
  <c r="Q135" i="10" s="1"/>
  <c r="L134" i="10"/>
  <c r="K135" i="10" a="1"/>
  <c r="K135" i="10" s="1"/>
  <c r="U135" i="10" s="1"/>
  <c r="P134" i="10"/>
  <c r="J135" i="10" a="1"/>
  <c r="J135" i="10" s="1"/>
  <c r="T135" i="10" s="1"/>
  <c r="O134" i="10"/>
  <c r="I135" i="10" a="1"/>
  <c r="I135" i="10" s="1"/>
  <c r="S135" i="10" s="1"/>
  <c r="N134" i="10"/>
  <c r="H135" i="10" a="1"/>
  <c r="H135" i="10" s="1"/>
  <c r="R135" i="10" s="1"/>
  <c r="M134" i="10"/>
  <c r="H136" i="10" l="1" a="1"/>
  <c r="H136" i="10" s="1"/>
  <c r="R136" i="10" s="1"/>
  <c r="M135" i="10"/>
  <c r="I136" i="10" a="1"/>
  <c r="I136" i="10" s="1"/>
  <c r="S136" i="10" s="1"/>
  <c r="N135" i="10"/>
  <c r="J136" i="10" a="1"/>
  <c r="J136" i="10" s="1"/>
  <c r="T136" i="10" s="1"/>
  <c r="O135" i="10"/>
  <c r="K136" i="10" a="1"/>
  <c r="K136" i="10" s="1"/>
  <c r="U136" i="10" s="1"/>
  <c r="P135" i="10"/>
  <c r="G136" i="10" a="1"/>
  <c r="G136" i="10" s="1"/>
  <c r="Q136" i="10" s="1"/>
  <c r="L135" i="10"/>
  <c r="G137" i="10" l="1" a="1"/>
  <c r="G137" i="10" s="1"/>
  <c r="Q137" i="10" s="1"/>
  <c r="L136" i="10"/>
  <c r="K137" i="10" a="1"/>
  <c r="K137" i="10" s="1"/>
  <c r="U137" i="10" s="1"/>
  <c r="P136" i="10"/>
  <c r="J137" i="10" a="1"/>
  <c r="J137" i="10" s="1"/>
  <c r="T137" i="10" s="1"/>
  <c r="O136" i="10"/>
  <c r="I137" i="10" a="1"/>
  <c r="I137" i="10" s="1"/>
  <c r="S137" i="10" s="1"/>
  <c r="N136" i="10"/>
  <c r="H137" i="10" a="1"/>
  <c r="H137" i="10" s="1"/>
  <c r="R137" i="10" s="1"/>
  <c r="M136" i="10"/>
  <c r="H138" i="10" l="1" a="1"/>
  <c r="H138" i="10" s="1"/>
  <c r="R138" i="10" s="1"/>
  <c r="M137" i="10"/>
  <c r="I138" i="10" a="1"/>
  <c r="I138" i="10" s="1"/>
  <c r="S138" i="10" s="1"/>
  <c r="N137" i="10"/>
  <c r="J138" i="10" a="1"/>
  <c r="J138" i="10" s="1"/>
  <c r="T138" i="10" s="1"/>
  <c r="O137" i="10"/>
  <c r="K138" i="10" a="1"/>
  <c r="K138" i="10" s="1"/>
  <c r="U138" i="10" s="1"/>
  <c r="P137" i="10"/>
  <c r="G138" i="10" a="1"/>
  <c r="G138" i="10" s="1"/>
  <c r="Q138" i="10" s="1"/>
  <c r="L137" i="10"/>
  <c r="G139" i="10" l="1" a="1"/>
  <c r="G139" i="10" s="1"/>
  <c r="Q139" i="10" s="1"/>
  <c r="L138" i="10"/>
  <c r="K139" i="10" a="1"/>
  <c r="K139" i="10" s="1"/>
  <c r="U139" i="10" s="1"/>
  <c r="P138" i="10"/>
  <c r="J139" i="10" a="1"/>
  <c r="J139" i="10" s="1"/>
  <c r="T139" i="10" s="1"/>
  <c r="O138" i="10"/>
  <c r="I139" i="10" a="1"/>
  <c r="I139" i="10" s="1"/>
  <c r="S139" i="10" s="1"/>
  <c r="N138" i="10"/>
  <c r="H139" i="10" a="1"/>
  <c r="H139" i="10" s="1"/>
  <c r="R139" i="10" s="1"/>
  <c r="M138" i="10"/>
  <c r="H140" i="10" l="1" a="1"/>
  <c r="H140" i="10" s="1"/>
  <c r="R140" i="10" s="1"/>
  <c r="M139" i="10"/>
  <c r="I140" i="10" a="1"/>
  <c r="I140" i="10" s="1"/>
  <c r="S140" i="10" s="1"/>
  <c r="N139" i="10"/>
  <c r="J140" i="10" a="1"/>
  <c r="J140" i="10" s="1"/>
  <c r="T140" i="10" s="1"/>
  <c r="O139" i="10"/>
  <c r="K140" i="10" a="1"/>
  <c r="K140" i="10" s="1"/>
  <c r="U140" i="10" s="1"/>
  <c r="P139" i="10"/>
  <c r="G140" i="10" a="1"/>
  <c r="G140" i="10" s="1"/>
  <c r="Q140" i="10" s="1"/>
  <c r="L139" i="10"/>
  <c r="G141" i="10" l="1" a="1"/>
  <c r="G141" i="10" s="1"/>
  <c r="Q141" i="10" s="1"/>
  <c r="L140" i="10"/>
  <c r="K141" i="10" a="1"/>
  <c r="K141" i="10" s="1"/>
  <c r="U141" i="10" s="1"/>
  <c r="P140" i="10"/>
  <c r="J141" i="10" a="1"/>
  <c r="J141" i="10" s="1"/>
  <c r="T141" i="10" s="1"/>
  <c r="O140" i="10"/>
  <c r="I141" i="10" a="1"/>
  <c r="I141" i="10" s="1"/>
  <c r="S141" i="10" s="1"/>
  <c r="N140" i="10"/>
  <c r="H141" i="10" a="1"/>
  <c r="H141" i="10" s="1"/>
  <c r="R141" i="10" s="1"/>
  <c r="M140" i="10"/>
  <c r="H142" i="10" l="1" a="1"/>
  <c r="H142" i="10" s="1"/>
  <c r="R142" i="10" s="1"/>
  <c r="M141" i="10"/>
  <c r="I142" i="10" a="1"/>
  <c r="I142" i="10" s="1"/>
  <c r="S142" i="10" s="1"/>
  <c r="N141" i="10"/>
  <c r="J142" i="10" a="1"/>
  <c r="J142" i="10" s="1"/>
  <c r="T142" i="10" s="1"/>
  <c r="O141" i="10"/>
  <c r="K142" i="10" a="1"/>
  <c r="K142" i="10" s="1"/>
  <c r="U142" i="10" s="1"/>
  <c r="P141" i="10"/>
  <c r="G142" i="10" a="1"/>
  <c r="G142" i="10" s="1"/>
  <c r="Q142" i="10" s="1"/>
  <c r="L141" i="10"/>
  <c r="G143" i="10" l="1" a="1"/>
  <c r="G143" i="10" s="1"/>
  <c r="Q143" i="10" s="1"/>
  <c r="L142" i="10"/>
  <c r="K143" i="10" a="1"/>
  <c r="K143" i="10" s="1"/>
  <c r="U143" i="10" s="1"/>
  <c r="P142" i="10"/>
  <c r="J143" i="10" a="1"/>
  <c r="J143" i="10" s="1"/>
  <c r="T143" i="10" s="1"/>
  <c r="O142" i="10"/>
  <c r="I143" i="10" a="1"/>
  <c r="I143" i="10" s="1"/>
  <c r="S143" i="10" s="1"/>
  <c r="N142" i="10"/>
  <c r="H143" i="10" a="1"/>
  <c r="H143" i="10" s="1"/>
  <c r="R143" i="10" s="1"/>
  <c r="M142" i="10"/>
  <c r="H144" i="10" l="1" a="1"/>
  <c r="H144" i="10" s="1"/>
  <c r="R144" i="10" s="1"/>
  <c r="M143" i="10"/>
  <c r="I144" i="10" a="1"/>
  <c r="I144" i="10" s="1"/>
  <c r="S144" i="10" s="1"/>
  <c r="N143" i="10"/>
  <c r="J144" i="10" a="1"/>
  <c r="J144" i="10" s="1"/>
  <c r="T144" i="10" s="1"/>
  <c r="O143" i="10"/>
  <c r="K144" i="10" a="1"/>
  <c r="K144" i="10" s="1"/>
  <c r="U144" i="10" s="1"/>
  <c r="P143" i="10"/>
  <c r="G144" i="10" a="1"/>
  <c r="G144" i="10" s="1"/>
  <c r="Q144" i="10" s="1"/>
  <c r="L143" i="10"/>
  <c r="G145" i="10" l="1" a="1"/>
  <c r="G145" i="10" s="1"/>
  <c r="Q145" i="10" s="1"/>
  <c r="L144" i="10"/>
  <c r="K145" i="10" a="1"/>
  <c r="K145" i="10" s="1"/>
  <c r="U145" i="10" s="1"/>
  <c r="P144" i="10"/>
  <c r="J145" i="10" a="1"/>
  <c r="J145" i="10" s="1"/>
  <c r="T145" i="10" s="1"/>
  <c r="O144" i="10"/>
  <c r="I145" i="10" a="1"/>
  <c r="I145" i="10" s="1"/>
  <c r="S145" i="10" s="1"/>
  <c r="N144" i="10"/>
  <c r="H145" i="10" a="1"/>
  <c r="H145" i="10" s="1"/>
  <c r="R145" i="10" s="1"/>
  <c r="M144" i="10"/>
  <c r="H146" i="10" l="1" a="1"/>
  <c r="H146" i="10" s="1"/>
  <c r="R146" i="10" s="1"/>
  <c r="M145" i="10"/>
  <c r="I146" i="10" a="1"/>
  <c r="I146" i="10" s="1"/>
  <c r="S146" i="10" s="1"/>
  <c r="N145" i="10"/>
  <c r="J146" i="10" a="1"/>
  <c r="J146" i="10" s="1"/>
  <c r="T146" i="10" s="1"/>
  <c r="O145" i="10"/>
  <c r="K146" i="10" a="1"/>
  <c r="K146" i="10" s="1"/>
  <c r="U146" i="10" s="1"/>
  <c r="P145" i="10"/>
  <c r="G146" i="10" a="1"/>
  <c r="G146" i="10" s="1"/>
  <c r="Q146" i="10" s="1"/>
  <c r="L145" i="10"/>
  <c r="G147" i="10" l="1" a="1"/>
  <c r="G147" i="10" s="1"/>
  <c r="Q147" i="10" s="1"/>
  <c r="L146" i="10"/>
  <c r="K147" i="10" a="1"/>
  <c r="K147" i="10" s="1"/>
  <c r="U147" i="10" s="1"/>
  <c r="P146" i="10"/>
  <c r="J147" i="10" a="1"/>
  <c r="J147" i="10" s="1"/>
  <c r="T147" i="10" s="1"/>
  <c r="O146" i="10"/>
  <c r="I147" i="10" a="1"/>
  <c r="I147" i="10" s="1"/>
  <c r="S147" i="10" s="1"/>
  <c r="N146" i="10"/>
  <c r="H147" i="10" a="1"/>
  <c r="H147" i="10" s="1"/>
  <c r="R147" i="10" s="1"/>
  <c r="M146" i="10"/>
  <c r="H148" i="10" l="1" a="1"/>
  <c r="H148" i="10" s="1"/>
  <c r="R148" i="10" s="1"/>
  <c r="M147" i="10"/>
  <c r="I148" i="10" a="1"/>
  <c r="I148" i="10" s="1"/>
  <c r="S148" i="10" s="1"/>
  <c r="N147" i="10"/>
  <c r="J148" i="10" a="1"/>
  <c r="J148" i="10" s="1"/>
  <c r="T148" i="10" s="1"/>
  <c r="O147" i="10"/>
  <c r="K148" i="10" a="1"/>
  <c r="K148" i="10" s="1"/>
  <c r="U148" i="10" s="1"/>
  <c r="P147" i="10"/>
  <c r="G148" i="10" a="1"/>
  <c r="G148" i="10" s="1"/>
  <c r="Q148" i="10" s="1"/>
  <c r="L147" i="10"/>
  <c r="G149" i="10" l="1" a="1"/>
  <c r="G149" i="10" s="1"/>
  <c r="Q149" i="10" s="1"/>
  <c r="L148" i="10"/>
  <c r="K149" i="10" a="1"/>
  <c r="K149" i="10" s="1"/>
  <c r="U149" i="10" s="1"/>
  <c r="P148" i="10"/>
  <c r="J149" i="10" a="1"/>
  <c r="J149" i="10" s="1"/>
  <c r="T149" i="10" s="1"/>
  <c r="O148" i="10"/>
  <c r="I149" i="10" a="1"/>
  <c r="I149" i="10" s="1"/>
  <c r="S149" i="10" s="1"/>
  <c r="N148" i="10"/>
  <c r="H149" i="10" a="1"/>
  <c r="H149" i="10" s="1"/>
  <c r="R149" i="10" s="1"/>
  <c r="M148" i="10"/>
  <c r="H150" i="10" l="1" a="1"/>
  <c r="H150" i="10" s="1"/>
  <c r="R150" i="10" s="1"/>
  <c r="M149" i="10"/>
  <c r="I150" i="10" a="1"/>
  <c r="I150" i="10" s="1"/>
  <c r="S150" i="10" s="1"/>
  <c r="N149" i="10"/>
  <c r="J150" i="10" a="1"/>
  <c r="J150" i="10" s="1"/>
  <c r="T150" i="10" s="1"/>
  <c r="O149" i="10"/>
  <c r="K150" i="10" a="1"/>
  <c r="K150" i="10" s="1"/>
  <c r="U150" i="10" s="1"/>
  <c r="P149" i="10"/>
  <c r="G150" i="10" a="1"/>
  <c r="G150" i="10" s="1"/>
  <c r="Q150" i="10" s="1"/>
  <c r="L149" i="10"/>
  <c r="G151" i="10" l="1" a="1"/>
  <c r="G151" i="10" s="1"/>
  <c r="Q151" i="10" s="1"/>
  <c r="L150" i="10"/>
  <c r="K151" i="10" a="1"/>
  <c r="K151" i="10" s="1"/>
  <c r="U151" i="10" s="1"/>
  <c r="P150" i="10"/>
  <c r="J151" i="10" a="1"/>
  <c r="J151" i="10" s="1"/>
  <c r="T151" i="10" s="1"/>
  <c r="O150" i="10"/>
  <c r="I151" i="10" a="1"/>
  <c r="I151" i="10" s="1"/>
  <c r="S151" i="10" s="1"/>
  <c r="N150" i="10"/>
  <c r="H151" i="10" a="1"/>
  <c r="H151" i="10" s="1"/>
  <c r="R151" i="10" s="1"/>
  <c r="M150" i="10"/>
  <c r="H152" i="10" l="1" a="1"/>
  <c r="H152" i="10" s="1"/>
  <c r="R152" i="10" s="1"/>
  <c r="M151" i="10"/>
  <c r="I152" i="10" a="1"/>
  <c r="I152" i="10" s="1"/>
  <c r="S152" i="10" s="1"/>
  <c r="N151" i="10"/>
  <c r="J152" i="10" a="1"/>
  <c r="J152" i="10" s="1"/>
  <c r="T152" i="10" s="1"/>
  <c r="O151" i="10"/>
  <c r="K152" i="10" a="1"/>
  <c r="K152" i="10" s="1"/>
  <c r="U152" i="10" s="1"/>
  <c r="P151" i="10"/>
  <c r="G152" i="10" a="1"/>
  <c r="G152" i="10" s="1"/>
  <c r="Q152" i="10" s="1"/>
  <c r="L151" i="10"/>
  <c r="G153" i="10" l="1" a="1"/>
  <c r="G153" i="10" s="1"/>
  <c r="Q153" i="10" s="1"/>
  <c r="L152" i="10"/>
  <c r="K153" i="10" a="1"/>
  <c r="K153" i="10" s="1"/>
  <c r="U153" i="10" s="1"/>
  <c r="P152" i="10"/>
  <c r="J153" i="10" a="1"/>
  <c r="J153" i="10" s="1"/>
  <c r="T153" i="10" s="1"/>
  <c r="O152" i="10"/>
  <c r="I153" i="10" a="1"/>
  <c r="I153" i="10" s="1"/>
  <c r="S153" i="10" s="1"/>
  <c r="N152" i="10"/>
  <c r="H153" i="10" a="1"/>
  <c r="H153" i="10" s="1"/>
  <c r="R153" i="10" s="1"/>
  <c r="M152" i="10"/>
  <c r="H154" i="10" l="1" a="1"/>
  <c r="H154" i="10" s="1"/>
  <c r="R154" i="10" s="1"/>
  <c r="M153" i="10"/>
  <c r="I154" i="10" a="1"/>
  <c r="I154" i="10" s="1"/>
  <c r="S154" i="10" s="1"/>
  <c r="N153" i="10"/>
  <c r="J154" i="10" a="1"/>
  <c r="J154" i="10" s="1"/>
  <c r="T154" i="10" s="1"/>
  <c r="O153" i="10"/>
  <c r="K154" i="10" a="1"/>
  <c r="K154" i="10" s="1"/>
  <c r="U154" i="10" s="1"/>
  <c r="P153" i="10"/>
  <c r="G154" i="10" a="1"/>
  <c r="G154" i="10" s="1"/>
  <c r="Q154" i="10" s="1"/>
  <c r="L153" i="10"/>
  <c r="G155" i="10" l="1" a="1"/>
  <c r="G155" i="10" s="1"/>
  <c r="Q155" i="10" s="1"/>
  <c r="L154" i="10"/>
  <c r="K155" i="10" a="1"/>
  <c r="K155" i="10" s="1"/>
  <c r="U155" i="10" s="1"/>
  <c r="P154" i="10"/>
  <c r="J155" i="10" a="1"/>
  <c r="J155" i="10" s="1"/>
  <c r="T155" i="10" s="1"/>
  <c r="O154" i="10"/>
  <c r="I155" i="10" a="1"/>
  <c r="I155" i="10" s="1"/>
  <c r="S155" i="10" s="1"/>
  <c r="N154" i="10"/>
  <c r="H155" i="10" a="1"/>
  <c r="H155" i="10" s="1"/>
  <c r="R155" i="10" s="1"/>
  <c r="M154" i="10"/>
  <c r="H156" i="10" l="1" a="1"/>
  <c r="H156" i="10" s="1"/>
  <c r="R156" i="10" s="1"/>
  <c r="M155" i="10"/>
  <c r="I156" i="10" a="1"/>
  <c r="I156" i="10" s="1"/>
  <c r="S156" i="10" s="1"/>
  <c r="N155" i="10"/>
  <c r="J156" i="10" a="1"/>
  <c r="J156" i="10" s="1"/>
  <c r="T156" i="10" s="1"/>
  <c r="O155" i="10"/>
  <c r="K156" i="10" a="1"/>
  <c r="K156" i="10" s="1"/>
  <c r="U156" i="10" s="1"/>
  <c r="P155" i="10"/>
  <c r="G156" i="10" a="1"/>
  <c r="G156" i="10" s="1"/>
  <c r="Q156" i="10" s="1"/>
  <c r="L155" i="10"/>
  <c r="G157" i="10" l="1" a="1"/>
  <c r="G157" i="10" s="1"/>
  <c r="Q157" i="10" s="1"/>
  <c r="L156" i="10"/>
  <c r="K157" i="10" a="1"/>
  <c r="K157" i="10" s="1"/>
  <c r="U157" i="10" s="1"/>
  <c r="P156" i="10"/>
  <c r="J157" i="10" a="1"/>
  <c r="J157" i="10" s="1"/>
  <c r="T157" i="10" s="1"/>
  <c r="O156" i="10"/>
  <c r="I157" i="10" a="1"/>
  <c r="I157" i="10" s="1"/>
  <c r="S157" i="10" s="1"/>
  <c r="N156" i="10"/>
  <c r="H157" i="10" a="1"/>
  <c r="H157" i="10" s="1"/>
  <c r="R157" i="10" s="1"/>
  <c r="M156" i="10"/>
  <c r="H158" i="10" l="1" a="1"/>
  <c r="H158" i="10" s="1"/>
  <c r="R158" i="10" s="1"/>
  <c r="M157" i="10"/>
  <c r="I158" i="10" a="1"/>
  <c r="I158" i="10" s="1"/>
  <c r="S158" i="10" s="1"/>
  <c r="N157" i="10"/>
  <c r="J158" i="10" a="1"/>
  <c r="J158" i="10" s="1"/>
  <c r="T158" i="10" s="1"/>
  <c r="O157" i="10"/>
  <c r="K158" i="10" a="1"/>
  <c r="K158" i="10" s="1"/>
  <c r="U158" i="10" s="1"/>
  <c r="P157" i="10"/>
  <c r="G158" i="10" a="1"/>
  <c r="G158" i="10" s="1"/>
  <c r="Q158" i="10" s="1"/>
  <c r="L157" i="10"/>
  <c r="G159" i="10" l="1" a="1"/>
  <c r="G159" i="10" s="1"/>
  <c r="Q159" i="10" s="1"/>
  <c r="L158" i="10"/>
  <c r="K159" i="10" a="1"/>
  <c r="K159" i="10" s="1"/>
  <c r="U159" i="10" s="1"/>
  <c r="P158" i="10"/>
  <c r="J159" i="10" a="1"/>
  <c r="J159" i="10" s="1"/>
  <c r="T159" i="10" s="1"/>
  <c r="O158" i="10"/>
  <c r="I159" i="10" a="1"/>
  <c r="I159" i="10" s="1"/>
  <c r="S159" i="10" s="1"/>
  <c r="N158" i="10"/>
  <c r="H159" i="10" a="1"/>
  <c r="H159" i="10" s="1"/>
  <c r="R159" i="10" s="1"/>
  <c r="M158" i="10"/>
  <c r="H160" i="10" l="1" a="1"/>
  <c r="H160" i="10" s="1"/>
  <c r="R160" i="10" s="1"/>
  <c r="M159" i="10"/>
  <c r="I160" i="10" a="1"/>
  <c r="I160" i="10" s="1"/>
  <c r="S160" i="10" s="1"/>
  <c r="N159" i="10"/>
  <c r="J160" i="10" a="1"/>
  <c r="J160" i="10" s="1"/>
  <c r="T160" i="10" s="1"/>
  <c r="O159" i="10"/>
  <c r="K160" i="10" a="1"/>
  <c r="K160" i="10" s="1"/>
  <c r="U160" i="10" s="1"/>
  <c r="P159" i="10"/>
  <c r="G160" i="10" a="1"/>
  <c r="G160" i="10" s="1"/>
  <c r="Q160" i="10" s="1"/>
  <c r="L159" i="10"/>
  <c r="G161" i="10" l="1" a="1"/>
  <c r="G161" i="10" s="1"/>
  <c r="Q161" i="10" s="1"/>
  <c r="L160" i="10"/>
  <c r="K161" i="10" a="1"/>
  <c r="K161" i="10" s="1"/>
  <c r="U161" i="10" s="1"/>
  <c r="P160" i="10"/>
  <c r="J161" i="10" a="1"/>
  <c r="J161" i="10" s="1"/>
  <c r="T161" i="10" s="1"/>
  <c r="O160" i="10"/>
  <c r="I161" i="10" a="1"/>
  <c r="I161" i="10" s="1"/>
  <c r="S161" i="10" s="1"/>
  <c r="N160" i="10"/>
  <c r="H161" i="10" a="1"/>
  <c r="H161" i="10" s="1"/>
  <c r="R161" i="10" s="1"/>
  <c r="M160" i="10"/>
  <c r="H162" i="10" l="1" a="1"/>
  <c r="H162" i="10" s="1"/>
  <c r="R162" i="10" s="1"/>
  <c r="M161" i="10"/>
  <c r="I162" i="10" a="1"/>
  <c r="I162" i="10" s="1"/>
  <c r="S162" i="10" s="1"/>
  <c r="N161" i="10"/>
  <c r="J162" i="10" a="1"/>
  <c r="J162" i="10" s="1"/>
  <c r="T162" i="10" s="1"/>
  <c r="O161" i="10"/>
  <c r="K162" i="10" a="1"/>
  <c r="K162" i="10" s="1"/>
  <c r="U162" i="10" s="1"/>
  <c r="P161" i="10"/>
  <c r="G162" i="10" a="1"/>
  <c r="G162" i="10" s="1"/>
  <c r="Q162" i="10" s="1"/>
  <c r="L161" i="10"/>
  <c r="G163" i="10" l="1" a="1"/>
  <c r="G163" i="10" s="1"/>
  <c r="Q163" i="10" s="1"/>
  <c r="L162" i="10"/>
  <c r="K163" i="10" a="1"/>
  <c r="K163" i="10" s="1"/>
  <c r="U163" i="10" s="1"/>
  <c r="P162" i="10"/>
  <c r="J163" i="10" a="1"/>
  <c r="J163" i="10" s="1"/>
  <c r="T163" i="10" s="1"/>
  <c r="O162" i="10"/>
  <c r="I163" i="10" a="1"/>
  <c r="I163" i="10" s="1"/>
  <c r="S163" i="10" s="1"/>
  <c r="N162" i="10"/>
  <c r="H163" i="10" a="1"/>
  <c r="H163" i="10" s="1"/>
  <c r="R163" i="10" s="1"/>
  <c r="M162" i="10"/>
  <c r="H164" i="10" l="1" a="1"/>
  <c r="H164" i="10" s="1"/>
  <c r="R164" i="10" s="1"/>
  <c r="M163" i="10"/>
  <c r="I164" i="10" a="1"/>
  <c r="I164" i="10" s="1"/>
  <c r="S164" i="10" s="1"/>
  <c r="N163" i="10"/>
  <c r="J164" i="10" a="1"/>
  <c r="J164" i="10" s="1"/>
  <c r="T164" i="10" s="1"/>
  <c r="O163" i="10"/>
  <c r="K164" i="10" a="1"/>
  <c r="K164" i="10" s="1"/>
  <c r="U164" i="10" s="1"/>
  <c r="P163" i="10"/>
  <c r="G164" i="10" a="1"/>
  <c r="G164" i="10" s="1"/>
  <c r="Q164" i="10" s="1"/>
  <c r="L163" i="10"/>
  <c r="G165" i="10" l="1" a="1"/>
  <c r="G165" i="10" s="1"/>
  <c r="Q165" i="10" s="1"/>
  <c r="L164" i="10"/>
  <c r="K165" i="10" a="1"/>
  <c r="K165" i="10" s="1"/>
  <c r="U165" i="10" s="1"/>
  <c r="P164" i="10"/>
  <c r="J165" i="10" a="1"/>
  <c r="J165" i="10" s="1"/>
  <c r="T165" i="10" s="1"/>
  <c r="O164" i="10"/>
  <c r="I165" i="10" a="1"/>
  <c r="I165" i="10" s="1"/>
  <c r="S165" i="10" s="1"/>
  <c r="N164" i="10"/>
  <c r="H165" i="10" a="1"/>
  <c r="H165" i="10" s="1"/>
  <c r="R165" i="10" s="1"/>
  <c r="M164" i="10"/>
  <c r="H166" i="10" l="1" a="1"/>
  <c r="H166" i="10" s="1"/>
  <c r="R166" i="10" s="1"/>
  <c r="M165" i="10"/>
  <c r="I166" i="10" a="1"/>
  <c r="I166" i="10" s="1"/>
  <c r="S166" i="10" s="1"/>
  <c r="N165" i="10"/>
  <c r="J166" i="10" a="1"/>
  <c r="J166" i="10" s="1"/>
  <c r="T166" i="10" s="1"/>
  <c r="O165" i="10"/>
  <c r="K166" i="10" a="1"/>
  <c r="K166" i="10" s="1"/>
  <c r="U166" i="10" s="1"/>
  <c r="P165" i="10"/>
  <c r="G166" i="10" a="1"/>
  <c r="G166" i="10" s="1"/>
  <c r="Q166" i="10" s="1"/>
  <c r="L165" i="10"/>
  <c r="G167" i="10" l="1" a="1"/>
  <c r="G167" i="10" s="1"/>
  <c r="Q167" i="10" s="1"/>
  <c r="L166" i="10"/>
  <c r="K167" i="10" a="1"/>
  <c r="K167" i="10" s="1"/>
  <c r="U167" i="10" s="1"/>
  <c r="P166" i="10"/>
  <c r="J167" i="10" a="1"/>
  <c r="J167" i="10" s="1"/>
  <c r="T167" i="10" s="1"/>
  <c r="O166" i="10"/>
  <c r="I167" i="10" a="1"/>
  <c r="I167" i="10" s="1"/>
  <c r="S167" i="10" s="1"/>
  <c r="N166" i="10"/>
  <c r="H167" i="10" a="1"/>
  <c r="H167" i="10" s="1"/>
  <c r="R167" i="10" s="1"/>
  <c r="M166" i="10"/>
  <c r="H168" i="10" l="1" a="1"/>
  <c r="H168" i="10" s="1"/>
  <c r="R168" i="10" s="1"/>
  <c r="M167" i="10"/>
  <c r="I168" i="10" a="1"/>
  <c r="I168" i="10" s="1"/>
  <c r="S168" i="10" s="1"/>
  <c r="N167" i="10"/>
  <c r="J168" i="10" a="1"/>
  <c r="J168" i="10" s="1"/>
  <c r="T168" i="10" s="1"/>
  <c r="O167" i="10"/>
  <c r="K168" i="10" a="1"/>
  <c r="K168" i="10" s="1"/>
  <c r="U168" i="10" s="1"/>
  <c r="P167" i="10"/>
  <c r="G168" i="10" a="1"/>
  <c r="G168" i="10" s="1"/>
  <c r="Q168" i="10" s="1"/>
  <c r="L167" i="10"/>
  <c r="G169" i="10" l="1" a="1"/>
  <c r="G169" i="10" s="1"/>
  <c r="Q169" i="10" s="1"/>
  <c r="L168" i="10"/>
  <c r="K169" i="10" a="1"/>
  <c r="K169" i="10" s="1"/>
  <c r="U169" i="10" s="1"/>
  <c r="P168" i="10"/>
  <c r="J169" i="10" a="1"/>
  <c r="J169" i="10" s="1"/>
  <c r="T169" i="10" s="1"/>
  <c r="O168" i="10"/>
  <c r="I169" i="10" a="1"/>
  <c r="I169" i="10" s="1"/>
  <c r="S169" i="10" s="1"/>
  <c r="N168" i="10"/>
  <c r="H169" i="10" a="1"/>
  <c r="H169" i="10" s="1"/>
  <c r="R169" i="10" s="1"/>
  <c r="M168" i="10"/>
  <c r="H170" i="10" l="1" a="1"/>
  <c r="H170" i="10" s="1"/>
  <c r="R170" i="10" s="1"/>
  <c r="M169" i="10"/>
  <c r="I170" i="10" a="1"/>
  <c r="I170" i="10" s="1"/>
  <c r="S170" i="10" s="1"/>
  <c r="N169" i="10"/>
  <c r="J170" i="10" a="1"/>
  <c r="J170" i="10" s="1"/>
  <c r="T170" i="10" s="1"/>
  <c r="O169" i="10"/>
  <c r="K170" i="10" a="1"/>
  <c r="K170" i="10" s="1"/>
  <c r="U170" i="10" s="1"/>
  <c r="P169" i="10"/>
  <c r="G170" i="10" a="1"/>
  <c r="G170" i="10" s="1"/>
  <c r="Q170" i="10" s="1"/>
  <c r="L169" i="10"/>
  <c r="G171" i="10" l="1" a="1"/>
  <c r="G171" i="10" s="1"/>
  <c r="Q171" i="10" s="1"/>
  <c r="L170" i="10"/>
  <c r="K171" i="10" a="1"/>
  <c r="K171" i="10" s="1"/>
  <c r="U171" i="10" s="1"/>
  <c r="P170" i="10"/>
  <c r="J171" i="10" a="1"/>
  <c r="J171" i="10" s="1"/>
  <c r="T171" i="10" s="1"/>
  <c r="O170" i="10"/>
  <c r="I171" i="10" a="1"/>
  <c r="I171" i="10" s="1"/>
  <c r="S171" i="10" s="1"/>
  <c r="N170" i="10"/>
  <c r="H171" i="10" a="1"/>
  <c r="H171" i="10" s="1"/>
  <c r="R171" i="10" s="1"/>
  <c r="M170" i="10"/>
  <c r="H172" i="10" l="1" a="1"/>
  <c r="H172" i="10" s="1"/>
  <c r="R172" i="10" s="1"/>
  <c r="M171" i="10"/>
  <c r="I172" i="10" a="1"/>
  <c r="I172" i="10" s="1"/>
  <c r="S172" i="10" s="1"/>
  <c r="N171" i="10"/>
  <c r="J172" i="10" a="1"/>
  <c r="J172" i="10" s="1"/>
  <c r="T172" i="10" s="1"/>
  <c r="O171" i="10"/>
  <c r="K172" i="10" a="1"/>
  <c r="K172" i="10" s="1"/>
  <c r="U172" i="10" s="1"/>
  <c r="P171" i="10"/>
  <c r="G172" i="10" a="1"/>
  <c r="G172" i="10" s="1"/>
  <c r="Q172" i="10" s="1"/>
  <c r="L171" i="10"/>
  <c r="G173" i="10" l="1" a="1"/>
  <c r="G173" i="10" s="1"/>
  <c r="Q173" i="10" s="1"/>
  <c r="L172" i="10"/>
  <c r="K173" i="10" a="1"/>
  <c r="K173" i="10" s="1"/>
  <c r="U173" i="10" s="1"/>
  <c r="P172" i="10"/>
  <c r="J173" i="10" a="1"/>
  <c r="J173" i="10" s="1"/>
  <c r="T173" i="10" s="1"/>
  <c r="O172" i="10"/>
  <c r="I173" i="10" a="1"/>
  <c r="I173" i="10" s="1"/>
  <c r="S173" i="10" s="1"/>
  <c r="N172" i="10"/>
  <c r="H173" i="10" a="1"/>
  <c r="H173" i="10" s="1"/>
  <c r="R173" i="10" s="1"/>
  <c r="M172" i="10"/>
  <c r="H174" i="10" l="1" a="1"/>
  <c r="H174" i="10" s="1"/>
  <c r="R174" i="10" s="1"/>
  <c r="M173" i="10"/>
  <c r="I174" i="10" a="1"/>
  <c r="I174" i="10" s="1"/>
  <c r="S174" i="10" s="1"/>
  <c r="N173" i="10"/>
  <c r="J174" i="10" a="1"/>
  <c r="J174" i="10" s="1"/>
  <c r="T174" i="10" s="1"/>
  <c r="O173" i="10"/>
  <c r="K174" i="10" a="1"/>
  <c r="K174" i="10" s="1"/>
  <c r="U174" i="10" s="1"/>
  <c r="P173" i="10"/>
  <c r="G174" i="10" a="1"/>
  <c r="G174" i="10" s="1"/>
  <c r="Q174" i="10" s="1"/>
  <c r="L173" i="10"/>
  <c r="G175" i="10" l="1" a="1"/>
  <c r="G175" i="10" s="1"/>
  <c r="Q175" i="10" s="1"/>
  <c r="L174" i="10"/>
  <c r="K175" i="10" a="1"/>
  <c r="K175" i="10" s="1"/>
  <c r="U175" i="10" s="1"/>
  <c r="P174" i="10"/>
  <c r="J175" i="10" a="1"/>
  <c r="J175" i="10" s="1"/>
  <c r="T175" i="10" s="1"/>
  <c r="O174" i="10"/>
  <c r="I175" i="10" a="1"/>
  <c r="I175" i="10" s="1"/>
  <c r="S175" i="10" s="1"/>
  <c r="N174" i="10"/>
  <c r="H175" i="10" a="1"/>
  <c r="H175" i="10" s="1"/>
  <c r="R175" i="10" s="1"/>
  <c r="M174" i="10"/>
  <c r="H176" i="10" l="1" a="1"/>
  <c r="H176" i="10" s="1"/>
  <c r="R176" i="10" s="1"/>
  <c r="M175" i="10"/>
  <c r="I176" i="10" a="1"/>
  <c r="I176" i="10" s="1"/>
  <c r="S176" i="10" s="1"/>
  <c r="N175" i="10"/>
  <c r="J176" i="10" a="1"/>
  <c r="J176" i="10" s="1"/>
  <c r="T176" i="10" s="1"/>
  <c r="O175" i="10"/>
  <c r="K176" i="10" a="1"/>
  <c r="K176" i="10" s="1"/>
  <c r="U176" i="10" s="1"/>
  <c r="P175" i="10"/>
  <c r="G176" i="10" a="1"/>
  <c r="G176" i="10" s="1"/>
  <c r="Q176" i="10" s="1"/>
  <c r="L175" i="10"/>
  <c r="G177" i="10" l="1" a="1"/>
  <c r="G177" i="10" s="1"/>
  <c r="Q177" i="10" s="1"/>
  <c r="L176" i="10"/>
  <c r="K177" i="10" a="1"/>
  <c r="K177" i="10" s="1"/>
  <c r="U177" i="10" s="1"/>
  <c r="P176" i="10"/>
  <c r="J177" i="10" a="1"/>
  <c r="J177" i="10" s="1"/>
  <c r="T177" i="10" s="1"/>
  <c r="O176" i="10"/>
  <c r="I177" i="10" a="1"/>
  <c r="I177" i="10" s="1"/>
  <c r="S177" i="10" s="1"/>
  <c r="N176" i="10"/>
  <c r="H177" i="10" a="1"/>
  <c r="H177" i="10" s="1"/>
  <c r="R177" i="10" s="1"/>
  <c r="M176" i="10"/>
  <c r="H178" i="10" l="1" a="1"/>
  <c r="H178" i="10" s="1"/>
  <c r="R178" i="10" s="1"/>
  <c r="M177" i="10"/>
  <c r="I178" i="10" a="1"/>
  <c r="I178" i="10" s="1"/>
  <c r="S178" i="10" s="1"/>
  <c r="N177" i="10"/>
  <c r="J178" i="10" a="1"/>
  <c r="J178" i="10" s="1"/>
  <c r="T178" i="10" s="1"/>
  <c r="O177" i="10"/>
  <c r="K178" i="10" a="1"/>
  <c r="K178" i="10" s="1"/>
  <c r="U178" i="10" s="1"/>
  <c r="P177" i="10"/>
  <c r="G178" i="10" a="1"/>
  <c r="G178" i="10" s="1"/>
  <c r="Q178" i="10" s="1"/>
  <c r="L177" i="10"/>
  <c r="G179" i="10" l="1" a="1"/>
  <c r="G179" i="10" s="1"/>
  <c r="Q179" i="10" s="1"/>
  <c r="L178" i="10"/>
  <c r="K179" i="10" a="1"/>
  <c r="K179" i="10" s="1"/>
  <c r="U179" i="10" s="1"/>
  <c r="P178" i="10"/>
  <c r="J179" i="10" a="1"/>
  <c r="J179" i="10" s="1"/>
  <c r="T179" i="10" s="1"/>
  <c r="O178" i="10"/>
  <c r="I179" i="10" a="1"/>
  <c r="I179" i="10" s="1"/>
  <c r="S179" i="10" s="1"/>
  <c r="N178" i="10"/>
  <c r="H179" i="10" a="1"/>
  <c r="H179" i="10" s="1"/>
  <c r="R179" i="10" s="1"/>
  <c r="M178" i="10"/>
  <c r="H180" i="10" l="1" a="1"/>
  <c r="H180" i="10" s="1"/>
  <c r="R180" i="10" s="1"/>
  <c r="M179" i="10"/>
  <c r="I180" i="10" a="1"/>
  <c r="I180" i="10" s="1"/>
  <c r="S180" i="10" s="1"/>
  <c r="N179" i="10"/>
  <c r="J180" i="10" a="1"/>
  <c r="J180" i="10" s="1"/>
  <c r="T180" i="10" s="1"/>
  <c r="O179" i="10"/>
  <c r="K180" i="10" a="1"/>
  <c r="K180" i="10" s="1"/>
  <c r="U180" i="10" s="1"/>
  <c r="P179" i="10"/>
  <c r="G180" i="10" a="1"/>
  <c r="G180" i="10" s="1"/>
  <c r="Q180" i="10" s="1"/>
  <c r="L179" i="10"/>
  <c r="G181" i="10" l="1" a="1"/>
  <c r="G181" i="10" s="1"/>
  <c r="Q181" i="10" s="1"/>
  <c r="L180" i="10"/>
  <c r="K181" i="10" a="1"/>
  <c r="K181" i="10" s="1"/>
  <c r="U181" i="10" s="1"/>
  <c r="P180" i="10"/>
  <c r="J181" i="10" a="1"/>
  <c r="J181" i="10" s="1"/>
  <c r="T181" i="10" s="1"/>
  <c r="O180" i="10"/>
  <c r="I181" i="10" a="1"/>
  <c r="I181" i="10" s="1"/>
  <c r="S181" i="10" s="1"/>
  <c r="N180" i="10"/>
  <c r="H181" i="10" a="1"/>
  <c r="H181" i="10" s="1"/>
  <c r="R181" i="10" s="1"/>
  <c r="M180" i="10"/>
  <c r="H182" i="10" l="1" a="1"/>
  <c r="H182" i="10" s="1"/>
  <c r="R182" i="10" s="1"/>
  <c r="M181" i="10"/>
  <c r="I182" i="10" a="1"/>
  <c r="I182" i="10" s="1"/>
  <c r="S182" i="10" s="1"/>
  <c r="N181" i="10"/>
  <c r="J182" i="10" a="1"/>
  <c r="J182" i="10" s="1"/>
  <c r="T182" i="10" s="1"/>
  <c r="O181" i="10"/>
  <c r="K182" i="10" a="1"/>
  <c r="K182" i="10" s="1"/>
  <c r="U182" i="10" s="1"/>
  <c r="P181" i="10"/>
  <c r="G182" i="10" a="1"/>
  <c r="G182" i="10" s="1"/>
  <c r="Q182" i="10" s="1"/>
  <c r="L181" i="10"/>
  <c r="G183" i="10" l="1" a="1"/>
  <c r="G183" i="10" s="1"/>
  <c r="Q183" i="10" s="1"/>
  <c r="L182" i="10"/>
  <c r="K183" i="10" a="1"/>
  <c r="K183" i="10" s="1"/>
  <c r="U183" i="10" s="1"/>
  <c r="P182" i="10"/>
  <c r="J183" i="10" a="1"/>
  <c r="J183" i="10" s="1"/>
  <c r="T183" i="10" s="1"/>
  <c r="O182" i="10"/>
  <c r="I183" i="10" a="1"/>
  <c r="I183" i="10" s="1"/>
  <c r="S183" i="10" s="1"/>
  <c r="N182" i="10"/>
  <c r="H183" i="10" a="1"/>
  <c r="H183" i="10" s="1"/>
  <c r="R183" i="10" s="1"/>
  <c r="M182" i="10"/>
  <c r="H184" i="10" l="1" a="1"/>
  <c r="H184" i="10" s="1"/>
  <c r="R184" i="10" s="1"/>
  <c r="M183" i="10"/>
  <c r="I184" i="10" a="1"/>
  <c r="I184" i="10" s="1"/>
  <c r="S184" i="10" s="1"/>
  <c r="N183" i="10"/>
  <c r="J184" i="10" a="1"/>
  <c r="J184" i="10" s="1"/>
  <c r="T184" i="10" s="1"/>
  <c r="O183" i="10"/>
  <c r="K184" i="10" a="1"/>
  <c r="K184" i="10" s="1"/>
  <c r="U184" i="10" s="1"/>
  <c r="P183" i="10"/>
  <c r="G184" i="10" a="1"/>
  <c r="G184" i="10" s="1"/>
  <c r="Q184" i="10" s="1"/>
  <c r="L183" i="10"/>
  <c r="G185" i="10" l="1" a="1"/>
  <c r="G185" i="10" s="1"/>
  <c r="Q185" i="10" s="1"/>
  <c r="L184" i="10"/>
  <c r="K185" i="10" a="1"/>
  <c r="K185" i="10" s="1"/>
  <c r="U185" i="10" s="1"/>
  <c r="P184" i="10"/>
  <c r="J185" i="10" a="1"/>
  <c r="J185" i="10" s="1"/>
  <c r="T185" i="10" s="1"/>
  <c r="O184" i="10"/>
  <c r="I185" i="10" a="1"/>
  <c r="I185" i="10" s="1"/>
  <c r="S185" i="10" s="1"/>
  <c r="N184" i="10"/>
  <c r="H185" i="10" a="1"/>
  <c r="H185" i="10" s="1"/>
  <c r="R185" i="10" s="1"/>
  <c r="M184" i="10"/>
  <c r="H186" i="10" l="1" a="1"/>
  <c r="H186" i="10" s="1"/>
  <c r="R186" i="10" s="1"/>
  <c r="M185" i="10"/>
  <c r="I186" i="10" a="1"/>
  <c r="I186" i="10" s="1"/>
  <c r="S186" i="10" s="1"/>
  <c r="N185" i="10"/>
  <c r="J186" i="10" a="1"/>
  <c r="J186" i="10" s="1"/>
  <c r="T186" i="10" s="1"/>
  <c r="O185" i="10"/>
  <c r="K186" i="10" a="1"/>
  <c r="K186" i="10" s="1"/>
  <c r="U186" i="10" s="1"/>
  <c r="P185" i="10"/>
  <c r="G186" i="10" a="1"/>
  <c r="G186" i="10" s="1"/>
  <c r="Q186" i="10" s="1"/>
  <c r="L185" i="10"/>
  <c r="G187" i="10" l="1" a="1"/>
  <c r="G187" i="10" s="1"/>
  <c r="Q187" i="10" s="1"/>
  <c r="L186" i="10"/>
  <c r="K187" i="10" a="1"/>
  <c r="K187" i="10" s="1"/>
  <c r="U187" i="10" s="1"/>
  <c r="P186" i="10"/>
  <c r="J187" i="10" a="1"/>
  <c r="J187" i="10" s="1"/>
  <c r="T187" i="10" s="1"/>
  <c r="O186" i="10"/>
  <c r="I187" i="10" a="1"/>
  <c r="I187" i="10" s="1"/>
  <c r="S187" i="10" s="1"/>
  <c r="N186" i="10"/>
  <c r="H187" i="10" a="1"/>
  <c r="H187" i="10" s="1"/>
  <c r="R187" i="10" s="1"/>
  <c r="M186" i="10"/>
  <c r="H188" i="10" l="1" a="1"/>
  <c r="H188" i="10" s="1"/>
  <c r="R188" i="10" s="1"/>
  <c r="M187" i="10"/>
  <c r="I188" i="10" a="1"/>
  <c r="I188" i="10" s="1"/>
  <c r="S188" i="10" s="1"/>
  <c r="N187" i="10"/>
  <c r="J188" i="10" a="1"/>
  <c r="J188" i="10" s="1"/>
  <c r="T188" i="10" s="1"/>
  <c r="O187" i="10"/>
  <c r="K188" i="10" a="1"/>
  <c r="K188" i="10" s="1"/>
  <c r="U188" i="10" s="1"/>
  <c r="P187" i="10"/>
  <c r="G188" i="10" a="1"/>
  <c r="G188" i="10" s="1"/>
  <c r="Q188" i="10" s="1"/>
  <c r="L187" i="10"/>
  <c r="G189" i="10" l="1" a="1"/>
  <c r="G189" i="10" s="1"/>
  <c r="Q189" i="10" s="1"/>
  <c r="L188" i="10"/>
  <c r="K189" i="10" a="1"/>
  <c r="K189" i="10" s="1"/>
  <c r="U189" i="10" s="1"/>
  <c r="P188" i="10"/>
  <c r="J189" i="10" a="1"/>
  <c r="J189" i="10" s="1"/>
  <c r="T189" i="10" s="1"/>
  <c r="O188" i="10"/>
  <c r="I189" i="10" a="1"/>
  <c r="I189" i="10" s="1"/>
  <c r="S189" i="10" s="1"/>
  <c r="N188" i="10"/>
  <c r="H189" i="10" a="1"/>
  <c r="H189" i="10" s="1"/>
  <c r="R189" i="10" s="1"/>
  <c r="M188" i="10"/>
  <c r="H190" i="10" l="1" a="1"/>
  <c r="H190" i="10" s="1"/>
  <c r="R190" i="10" s="1"/>
  <c r="M189" i="10"/>
  <c r="I190" i="10" a="1"/>
  <c r="I190" i="10" s="1"/>
  <c r="S190" i="10" s="1"/>
  <c r="N189" i="10"/>
  <c r="J190" i="10" a="1"/>
  <c r="J190" i="10" s="1"/>
  <c r="T190" i="10" s="1"/>
  <c r="O189" i="10"/>
  <c r="K190" i="10" a="1"/>
  <c r="K190" i="10" s="1"/>
  <c r="U190" i="10" s="1"/>
  <c r="P189" i="10"/>
  <c r="G190" i="10" a="1"/>
  <c r="G190" i="10" s="1"/>
  <c r="Q190" i="10" s="1"/>
  <c r="L189" i="10"/>
  <c r="G191" i="10" l="1" a="1"/>
  <c r="G191" i="10" s="1"/>
  <c r="Q191" i="10" s="1"/>
  <c r="L190" i="10"/>
  <c r="K191" i="10" a="1"/>
  <c r="K191" i="10" s="1"/>
  <c r="U191" i="10" s="1"/>
  <c r="P190" i="10"/>
  <c r="J191" i="10" a="1"/>
  <c r="J191" i="10" s="1"/>
  <c r="T191" i="10" s="1"/>
  <c r="O190" i="10"/>
  <c r="I191" i="10" a="1"/>
  <c r="I191" i="10" s="1"/>
  <c r="S191" i="10" s="1"/>
  <c r="N190" i="10"/>
  <c r="H191" i="10" a="1"/>
  <c r="H191" i="10" s="1"/>
  <c r="R191" i="10" s="1"/>
  <c r="M190" i="10"/>
  <c r="H192" i="10" l="1" a="1"/>
  <c r="H192" i="10" s="1"/>
  <c r="R192" i="10" s="1"/>
  <c r="M191" i="10"/>
  <c r="I192" i="10" a="1"/>
  <c r="I192" i="10" s="1"/>
  <c r="S192" i="10" s="1"/>
  <c r="N191" i="10"/>
  <c r="J192" i="10" a="1"/>
  <c r="J192" i="10" s="1"/>
  <c r="T192" i="10" s="1"/>
  <c r="O191" i="10"/>
  <c r="K192" i="10" a="1"/>
  <c r="K192" i="10" s="1"/>
  <c r="U192" i="10" s="1"/>
  <c r="P191" i="10"/>
  <c r="G192" i="10" a="1"/>
  <c r="G192" i="10" s="1"/>
  <c r="Q192" i="10" s="1"/>
  <c r="L191" i="10"/>
  <c r="G193" i="10" l="1" a="1"/>
  <c r="G193" i="10" s="1"/>
  <c r="Q193" i="10" s="1"/>
  <c r="L192" i="10"/>
  <c r="K193" i="10" a="1"/>
  <c r="K193" i="10" s="1"/>
  <c r="U193" i="10" s="1"/>
  <c r="P192" i="10"/>
  <c r="J193" i="10" a="1"/>
  <c r="J193" i="10" s="1"/>
  <c r="T193" i="10" s="1"/>
  <c r="O192" i="10"/>
  <c r="I193" i="10" a="1"/>
  <c r="I193" i="10" s="1"/>
  <c r="S193" i="10" s="1"/>
  <c r="N192" i="10"/>
  <c r="H193" i="10" a="1"/>
  <c r="H193" i="10" s="1"/>
  <c r="R193" i="10" s="1"/>
  <c r="M192" i="10"/>
  <c r="H194" i="10" l="1" a="1"/>
  <c r="H194" i="10" s="1"/>
  <c r="R194" i="10" s="1"/>
  <c r="M193" i="10"/>
  <c r="I194" i="10" a="1"/>
  <c r="I194" i="10" s="1"/>
  <c r="S194" i="10" s="1"/>
  <c r="N193" i="10"/>
  <c r="J194" i="10" a="1"/>
  <c r="J194" i="10" s="1"/>
  <c r="T194" i="10" s="1"/>
  <c r="O193" i="10"/>
  <c r="K194" i="10" a="1"/>
  <c r="K194" i="10" s="1"/>
  <c r="U194" i="10" s="1"/>
  <c r="P193" i="10"/>
  <c r="G194" i="10" a="1"/>
  <c r="G194" i="10" s="1"/>
  <c r="Q194" i="10" s="1"/>
  <c r="L193" i="10"/>
  <c r="G195" i="10" l="1" a="1"/>
  <c r="G195" i="10" s="1"/>
  <c r="Q195" i="10" s="1"/>
  <c r="L194" i="10"/>
  <c r="K195" i="10" a="1"/>
  <c r="K195" i="10" s="1"/>
  <c r="U195" i="10" s="1"/>
  <c r="P194" i="10"/>
  <c r="J195" i="10" a="1"/>
  <c r="J195" i="10" s="1"/>
  <c r="T195" i="10" s="1"/>
  <c r="O194" i="10"/>
  <c r="I195" i="10" a="1"/>
  <c r="I195" i="10" s="1"/>
  <c r="S195" i="10" s="1"/>
  <c r="N194" i="10"/>
  <c r="H195" i="10" a="1"/>
  <c r="H195" i="10" s="1"/>
  <c r="R195" i="10" s="1"/>
  <c r="M194" i="10"/>
  <c r="H196" i="10" l="1" a="1"/>
  <c r="H196" i="10" s="1"/>
  <c r="R196" i="10" s="1"/>
  <c r="M195" i="10"/>
  <c r="I196" i="10" a="1"/>
  <c r="I196" i="10" s="1"/>
  <c r="S196" i="10" s="1"/>
  <c r="N195" i="10"/>
  <c r="J196" i="10" a="1"/>
  <c r="J196" i="10" s="1"/>
  <c r="T196" i="10" s="1"/>
  <c r="O195" i="10"/>
  <c r="K196" i="10" a="1"/>
  <c r="K196" i="10" s="1"/>
  <c r="U196" i="10" s="1"/>
  <c r="P195" i="10"/>
  <c r="G196" i="10" a="1"/>
  <c r="G196" i="10" s="1"/>
  <c r="Q196" i="10" s="1"/>
  <c r="L195" i="10"/>
  <c r="G197" i="10" l="1" a="1"/>
  <c r="G197" i="10" s="1"/>
  <c r="Q197" i="10" s="1"/>
  <c r="L196" i="10"/>
  <c r="K197" i="10" a="1"/>
  <c r="K197" i="10" s="1"/>
  <c r="U197" i="10" s="1"/>
  <c r="P196" i="10"/>
  <c r="J197" i="10" a="1"/>
  <c r="J197" i="10" s="1"/>
  <c r="T197" i="10" s="1"/>
  <c r="O196" i="10"/>
  <c r="I197" i="10" a="1"/>
  <c r="I197" i="10" s="1"/>
  <c r="S197" i="10" s="1"/>
  <c r="N196" i="10"/>
  <c r="H197" i="10" a="1"/>
  <c r="H197" i="10" s="1"/>
  <c r="R197" i="10" s="1"/>
  <c r="M196" i="10"/>
  <c r="H198" i="10" l="1" a="1"/>
  <c r="H198" i="10" s="1"/>
  <c r="R198" i="10" s="1"/>
  <c r="M197" i="10"/>
  <c r="I198" i="10" a="1"/>
  <c r="I198" i="10" s="1"/>
  <c r="S198" i="10" s="1"/>
  <c r="N197" i="10"/>
  <c r="J198" i="10" a="1"/>
  <c r="J198" i="10" s="1"/>
  <c r="T198" i="10" s="1"/>
  <c r="O197" i="10"/>
  <c r="K198" i="10" a="1"/>
  <c r="K198" i="10" s="1"/>
  <c r="U198" i="10" s="1"/>
  <c r="P197" i="10"/>
  <c r="G198" i="10" a="1"/>
  <c r="G198" i="10" s="1"/>
  <c r="Q198" i="10" s="1"/>
  <c r="L197" i="10"/>
  <c r="G199" i="10" l="1" a="1"/>
  <c r="G199" i="10" s="1"/>
  <c r="Q199" i="10" s="1"/>
  <c r="L198" i="10"/>
  <c r="K199" i="10" a="1"/>
  <c r="K199" i="10" s="1"/>
  <c r="U199" i="10" s="1"/>
  <c r="P198" i="10"/>
  <c r="J199" i="10" a="1"/>
  <c r="J199" i="10" s="1"/>
  <c r="T199" i="10" s="1"/>
  <c r="O198" i="10"/>
  <c r="I199" i="10" a="1"/>
  <c r="I199" i="10" s="1"/>
  <c r="S199" i="10" s="1"/>
  <c r="N198" i="10"/>
  <c r="H199" i="10" a="1"/>
  <c r="H199" i="10" s="1"/>
  <c r="R199" i="10" s="1"/>
  <c r="M198" i="10"/>
  <c r="H200" i="10" l="1" a="1"/>
  <c r="H200" i="10" s="1"/>
  <c r="R200" i="10" s="1"/>
  <c r="M199" i="10"/>
  <c r="I200" i="10" a="1"/>
  <c r="I200" i="10" s="1"/>
  <c r="S200" i="10" s="1"/>
  <c r="N199" i="10"/>
  <c r="J200" i="10" a="1"/>
  <c r="J200" i="10" s="1"/>
  <c r="T200" i="10" s="1"/>
  <c r="O199" i="10"/>
  <c r="K200" i="10" a="1"/>
  <c r="K200" i="10" s="1"/>
  <c r="U200" i="10" s="1"/>
  <c r="P199" i="10"/>
  <c r="G200" i="10" a="1"/>
  <c r="G200" i="10" s="1"/>
  <c r="Q200" i="10" s="1"/>
  <c r="L199" i="10"/>
  <c r="G201" i="10" l="1" a="1"/>
  <c r="G201" i="10" s="1"/>
  <c r="Q201" i="10" s="1"/>
  <c r="L200" i="10"/>
  <c r="K201" i="10" a="1"/>
  <c r="K201" i="10" s="1"/>
  <c r="U201" i="10" s="1"/>
  <c r="P200" i="10"/>
  <c r="J201" i="10" a="1"/>
  <c r="J201" i="10" s="1"/>
  <c r="T201" i="10" s="1"/>
  <c r="O200" i="10"/>
  <c r="I201" i="10" a="1"/>
  <c r="I201" i="10" s="1"/>
  <c r="S201" i="10" s="1"/>
  <c r="N200" i="10"/>
  <c r="H201" i="10" a="1"/>
  <c r="H201" i="10" s="1"/>
  <c r="R201" i="10" s="1"/>
  <c r="M200" i="10"/>
  <c r="H202" i="10" l="1" a="1"/>
  <c r="H202" i="10" s="1"/>
  <c r="R202" i="10" s="1"/>
  <c r="M201" i="10"/>
  <c r="I202" i="10" a="1"/>
  <c r="I202" i="10" s="1"/>
  <c r="S202" i="10" s="1"/>
  <c r="N201" i="10"/>
  <c r="J202" i="10" a="1"/>
  <c r="J202" i="10" s="1"/>
  <c r="T202" i="10" s="1"/>
  <c r="O201" i="10"/>
  <c r="K202" i="10" a="1"/>
  <c r="K202" i="10" s="1"/>
  <c r="U202" i="10" s="1"/>
  <c r="P201" i="10"/>
  <c r="G202" i="10" a="1"/>
  <c r="G202" i="10" s="1"/>
  <c r="Q202" i="10" s="1"/>
  <c r="L201" i="10"/>
  <c r="G203" i="10" l="1" a="1"/>
  <c r="G203" i="10" s="1"/>
  <c r="Q203" i="10" s="1"/>
  <c r="L202" i="10"/>
  <c r="K203" i="10" a="1"/>
  <c r="K203" i="10" s="1"/>
  <c r="U203" i="10" s="1"/>
  <c r="P202" i="10"/>
  <c r="J203" i="10" a="1"/>
  <c r="J203" i="10" s="1"/>
  <c r="T203" i="10" s="1"/>
  <c r="O202" i="10"/>
  <c r="I203" i="10" a="1"/>
  <c r="I203" i="10" s="1"/>
  <c r="S203" i="10" s="1"/>
  <c r="N202" i="10"/>
  <c r="H203" i="10" a="1"/>
  <c r="H203" i="10" s="1"/>
  <c r="R203" i="10" s="1"/>
  <c r="M202" i="10"/>
  <c r="H204" i="10" l="1" a="1"/>
  <c r="H204" i="10" s="1"/>
  <c r="R204" i="10" s="1"/>
  <c r="M203" i="10"/>
  <c r="I204" i="10" a="1"/>
  <c r="I204" i="10" s="1"/>
  <c r="S204" i="10" s="1"/>
  <c r="N203" i="10"/>
  <c r="J204" i="10" a="1"/>
  <c r="J204" i="10" s="1"/>
  <c r="T204" i="10" s="1"/>
  <c r="O203" i="10"/>
  <c r="K204" i="10" a="1"/>
  <c r="K204" i="10" s="1"/>
  <c r="U204" i="10" s="1"/>
  <c r="P203" i="10"/>
  <c r="G204" i="10" a="1"/>
  <c r="G204" i="10" s="1"/>
  <c r="Q204" i="10" s="1"/>
  <c r="L203" i="10"/>
  <c r="G205" i="10" l="1" a="1"/>
  <c r="G205" i="10" s="1"/>
  <c r="Q205" i="10" s="1"/>
  <c r="L204" i="10"/>
  <c r="K205" i="10" a="1"/>
  <c r="K205" i="10" s="1"/>
  <c r="U205" i="10" s="1"/>
  <c r="P204" i="10"/>
  <c r="J205" i="10" a="1"/>
  <c r="J205" i="10" s="1"/>
  <c r="T205" i="10" s="1"/>
  <c r="O204" i="10"/>
  <c r="I205" i="10" a="1"/>
  <c r="I205" i="10" s="1"/>
  <c r="S205" i="10" s="1"/>
  <c r="N204" i="10"/>
  <c r="H205" i="10" a="1"/>
  <c r="H205" i="10" s="1"/>
  <c r="R205" i="10" s="1"/>
  <c r="M204" i="10"/>
  <c r="H206" i="10" l="1" a="1"/>
  <c r="H206" i="10" s="1"/>
  <c r="R206" i="10" s="1"/>
  <c r="M205" i="10"/>
  <c r="I206" i="10" a="1"/>
  <c r="I206" i="10" s="1"/>
  <c r="S206" i="10" s="1"/>
  <c r="N205" i="10"/>
  <c r="J206" i="10" a="1"/>
  <c r="J206" i="10" s="1"/>
  <c r="T206" i="10" s="1"/>
  <c r="O205" i="10"/>
  <c r="K206" i="10" a="1"/>
  <c r="K206" i="10" s="1"/>
  <c r="U206" i="10" s="1"/>
  <c r="P205" i="10"/>
  <c r="G206" i="10" a="1"/>
  <c r="G206" i="10" s="1"/>
  <c r="Q206" i="10" s="1"/>
  <c r="L205" i="10"/>
  <c r="G207" i="10" l="1" a="1"/>
  <c r="G207" i="10" s="1"/>
  <c r="Q207" i="10" s="1"/>
  <c r="L206" i="10"/>
  <c r="K207" i="10" a="1"/>
  <c r="K207" i="10" s="1"/>
  <c r="U207" i="10" s="1"/>
  <c r="P206" i="10"/>
  <c r="J207" i="10" a="1"/>
  <c r="J207" i="10" s="1"/>
  <c r="T207" i="10" s="1"/>
  <c r="O206" i="10"/>
  <c r="I207" i="10" a="1"/>
  <c r="I207" i="10" s="1"/>
  <c r="S207" i="10" s="1"/>
  <c r="N206" i="10"/>
  <c r="H207" i="10" a="1"/>
  <c r="H207" i="10" s="1"/>
  <c r="R207" i="10" s="1"/>
  <c r="M206" i="10"/>
  <c r="H208" i="10" l="1" a="1"/>
  <c r="H208" i="10" s="1"/>
  <c r="R208" i="10" s="1"/>
  <c r="M207" i="10"/>
  <c r="I208" i="10" a="1"/>
  <c r="I208" i="10" s="1"/>
  <c r="S208" i="10" s="1"/>
  <c r="N207" i="10"/>
  <c r="J208" i="10" a="1"/>
  <c r="J208" i="10" s="1"/>
  <c r="T208" i="10" s="1"/>
  <c r="O207" i="10"/>
  <c r="K208" i="10" a="1"/>
  <c r="K208" i="10" s="1"/>
  <c r="U208" i="10" s="1"/>
  <c r="P207" i="10"/>
  <c r="G208" i="10" a="1"/>
  <c r="G208" i="10" s="1"/>
  <c r="Q208" i="10" s="1"/>
  <c r="L207" i="10"/>
  <c r="G209" i="10" l="1" a="1"/>
  <c r="G209" i="10" s="1"/>
  <c r="Q209" i="10" s="1"/>
  <c r="L208" i="10"/>
  <c r="K209" i="10" a="1"/>
  <c r="K209" i="10" s="1"/>
  <c r="U209" i="10" s="1"/>
  <c r="P208" i="10"/>
  <c r="J209" i="10" a="1"/>
  <c r="J209" i="10" s="1"/>
  <c r="T209" i="10" s="1"/>
  <c r="O208" i="10"/>
  <c r="I209" i="10" a="1"/>
  <c r="I209" i="10" s="1"/>
  <c r="S209" i="10" s="1"/>
  <c r="N208" i="10"/>
  <c r="H209" i="10" a="1"/>
  <c r="H209" i="10" s="1"/>
  <c r="R209" i="10" s="1"/>
  <c r="M208" i="10"/>
  <c r="H210" i="10" l="1" a="1"/>
  <c r="H210" i="10" s="1"/>
  <c r="R210" i="10" s="1"/>
  <c r="M209" i="10"/>
  <c r="I210" i="10" a="1"/>
  <c r="I210" i="10" s="1"/>
  <c r="S210" i="10" s="1"/>
  <c r="N209" i="10"/>
  <c r="J210" i="10" a="1"/>
  <c r="J210" i="10" s="1"/>
  <c r="T210" i="10" s="1"/>
  <c r="O209" i="10"/>
  <c r="K210" i="10" a="1"/>
  <c r="K210" i="10" s="1"/>
  <c r="U210" i="10" s="1"/>
  <c r="P209" i="10"/>
  <c r="G210" i="10" a="1"/>
  <c r="G210" i="10" s="1"/>
  <c r="Q210" i="10" s="1"/>
  <c r="L209" i="10"/>
  <c r="G211" i="10" l="1" a="1"/>
  <c r="G211" i="10" s="1"/>
  <c r="Q211" i="10" s="1"/>
  <c r="L210" i="10"/>
  <c r="K211" i="10" a="1"/>
  <c r="K211" i="10" s="1"/>
  <c r="U211" i="10" s="1"/>
  <c r="P210" i="10"/>
  <c r="J211" i="10" a="1"/>
  <c r="J211" i="10" s="1"/>
  <c r="T211" i="10" s="1"/>
  <c r="O210" i="10"/>
  <c r="I211" i="10" a="1"/>
  <c r="I211" i="10" s="1"/>
  <c r="S211" i="10" s="1"/>
  <c r="N210" i="10"/>
  <c r="H211" i="10" a="1"/>
  <c r="H211" i="10" s="1"/>
  <c r="R211" i="10" s="1"/>
  <c r="M210" i="10"/>
  <c r="H212" i="10" l="1" a="1"/>
  <c r="H212" i="10" s="1"/>
  <c r="R212" i="10" s="1"/>
  <c r="M211" i="10"/>
  <c r="I212" i="10" a="1"/>
  <c r="I212" i="10" s="1"/>
  <c r="S212" i="10" s="1"/>
  <c r="N211" i="10"/>
  <c r="J212" i="10" a="1"/>
  <c r="J212" i="10" s="1"/>
  <c r="T212" i="10" s="1"/>
  <c r="O211" i="10"/>
  <c r="K212" i="10" a="1"/>
  <c r="K212" i="10" s="1"/>
  <c r="U212" i="10" s="1"/>
  <c r="P211" i="10"/>
  <c r="G212" i="10" a="1"/>
  <c r="G212" i="10" s="1"/>
  <c r="Q212" i="10" s="1"/>
  <c r="L211" i="10"/>
  <c r="G213" i="10" l="1" a="1"/>
  <c r="G213" i="10" s="1"/>
  <c r="Q213" i="10" s="1"/>
  <c r="L212" i="10"/>
  <c r="K213" i="10" a="1"/>
  <c r="K213" i="10" s="1"/>
  <c r="U213" i="10" s="1"/>
  <c r="P212" i="10"/>
  <c r="J213" i="10" a="1"/>
  <c r="J213" i="10" s="1"/>
  <c r="T213" i="10" s="1"/>
  <c r="O212" i="10"/>
  <c r="I213" i="10" a="1"/>
  <c r="I213" i="10" s="1"/>
  <c r="S213" i="10" s="1"/>
  <c r="N212" i="10"/>
  <c r="H213" i="10" a="1"/>
  <c r="H213" i="10" s="1"/>
  <c r="R213" i="10" s="1"/>
  <c r="M212" i="10"/>
  <c r="H214" i="10" l="1" a="1"/>
  <c r="H214" i="10" s="1"/>
  <c r="R214" i="10" s="1"/>
  <c r="M213" i="10"/>
  <c r="I214" i="10" a="1"/>
  <c r="I214" i="10" s="1"/>
  <c r="S214" i="10" s="1"/>
  <c r="N213" i="10"/>
  <c r="J214" i="10" a="1"/>
  <c r="J214" i="10" s="1"/>
  <c r="T214" i="10" s="1"/>
  <c r="O213" i="10"/>
  <c r="K214" i="10" a="1"/>
  <c r="K214" i="10" s="1"/>
  <c r="U214" i="10" s="1"/>
  <c r="P213" i="10"/>
  <c r="G214" i="10" a="1"/>
  <c r="G214" i="10" s="1"/>
  <c r="Q214" i="10" s="1"/>
  <c r="L213" i="10"/>
  <c r="G215" i="10" l="1" a="1"/>
  <c r="G215" i="10" s="1"/>
  <c r="Q215" i="10" s="1"/>
  <c r="L214" i="10"/>
  <c r="K215" i="10" a="1"/>
  <c r="K215" i="10" s="1"/>
  <c r="U215" i="10" s="1"/>
  <c r="P214" i="10"/>
  <c r="J215" i="10" a="1"/>
  <c r="J215" i="10" s="1"/>
  <c r="T215" i="10" s="1"/>
  <c r="O214" i="10"/>
  <c r="I215" i="10" a="1"/>
  <c r="I215" i="10" s="1"/>
  <c r="S215" i="10" s="1"/>
  <c r="N214" i="10"/>
  <c r="H215" i="10" a="1"/>
  <c r="H215" i="10" s="1"/>
  <c r="R215" i="10" s="1"/>
  <c r="M214" i="10"/>
  <c r="H216" i="10" l="1" a="1"/>
  <c r="H216" i="10" s="1"/>
  <c r="R216" i="10" s="1"/>
  <c r="M215" i="10"/>
  <c r="I216" i="10" a="1"/>
  <c r="I216" i="10" s="1"/>
  <c r="S216" i="10" s="1"/>
  <c r="N215" i="10"/>
  <c r="J216" i="10" a="1"/>
  <c r="J216" i="10" s="1"/>
  <c r="T216" i="10" s="1"/>
  <c r="O215" i="10"/>
  <c r="K216" i="10" a="1"/>
  <c r="K216" i="10" s="1"/>
  <c r="U216" i="10" s="1"/>
  <c r="P215" i="10"/>
  <c r="G216" i="10" a="1"/>
  <c r="G216" i="10" s="1"/>
  <c r="Q216" i="10" s="1"/>
  <c r="L215" i="10"/>
  <c r="G217" i="10" l="1" a="1"/>
  <c r="G217" i="10" s="1"/>
  <c r="Q217" i="10" s="1"/>
  <c r="L216" i="10"/>
  <c r="K217" i="10" a="1"/>
  <c r="K217" i="10" s="1"/>
  <c r="U217" i="10" s="1"/>
  <c r="P216" i="10"/>
  <c r="J217" i="10" a="1"/>
  <c r="J217" i="10" s="1"/>
  <c r="T217" i="10" s="1"/>
  <c r="O216" i="10"/>
  <c r="I217" i="10" a="1"/>
  <c r="I217" i="10" s="1"/>
  <c r="S217" i="10" s="1"/>
  <c r="N216" i="10"/>
  <c r="H217" i="10" a="1"/>
  <c r="H217" i="10" s="1"/>
  <c r="R217" i="10" s="1"/>
  <c r="M216" i="10"/>
  <c r="H218" i="10" l="1" a="1"/>
  <c r="H218" i="10" s="1"/>
  <c r="R218" i="10" s="1"/>
  <c r="M217" i="10"/>
  <c r="I218" i="10" a="1"/>
  <c r="I218" i="10" s="1"/>
  <c r="S218" i="10" s="1"/>
  <c r="N217" i="10"/>
  <c r="J218" i="10" a="1"/>
  <c r="J218" i="10" s="1"/>
  <c r="T218" i="10" s="1"/>
  <c r="O217" i="10"/>
  <c r="K218" i="10" a="1"/>
  <c r="K218" i="10" s="1"/>
  <c r="U218" i="10" s="1"/>
  <c r="P217" i="10"/>
  <c r="G218" i="10" a="1"/>
  <c r="G218" i="10" s="1"/>
  <c r="Q218" i="10" s="1"/>
  <c r="L217" i="10"/>
  <c r="G219" i="10" l="1" a="1"/>
  <c r="G219" i="10" s="1"/>
  <c r="Q219" i="10" s="1"/>
  <c r="L218" i="10"/>
  <c r="K219" i="10" a="1"/>
  <c r="K219" i="10" s="1"/>
  <c r="U219" i="10" s="1"/>
  <c r="P218" i="10"/>
  <c r="J219" i="10" a="1"/>
  <c r="J219" i="10" s="1"/>
  <c r="T219" i="10" s="1"/>
  <c r="O218" i="10"/>
  <c r="I219" i="10" a="1"/>
  <c r="I219" i="10" s="1"/>
  <c r="S219" i="10" s="1"/>
  <c r="N218" i="10"/>
  <c r="H219" i="10" a="1"/>
  <c r="H219" i="10" s="1"/>
  <c r="R219" i="10" s="1"/>
  <c r="M218" i="10"/>
  <c r="H220" i="10" l="1" a="1"/>
  <c r="H220" i="10" s="1"/>
  <c r="R220" i="10" s="1"/>
  <c r="M219" i="10"/>
  <c r="I220" i="10" a="1"/>
  <c r="I220" i="10" s="1"/>
  <c r="S220" i="10" s="1"/>
  <c r="N219" i="10"/>
  <c r="J220" i="10" a="1"/>
  <c r="J220" i="10" s="1"/>
  <c r="T220" i="10" s="1"/>
  <c r="O219" i="10"/>
  <c r="K220" i="10" a="1"/>
  <c r="K220" i="10" s="1"/>
  <c r="U220" i="10" s="1"/>
  <c r="P219" i="10"/>
  <c r="G220" i="10" a="1"/>
  <c r="G220" i="10" s="1"/>
  <c r="Q220" i="10" s="1"/>
  <c r="L219" i="10"/>
  <c r="G221" i="10" l="1" a="1"/>
  <c r="G221" i="10" s="1"/>
  <c r="Q221" i="10" s="1"/>
  <c r="L220" i="10"/>
  <c r="K221" i="10" a="1"/>
  <c r="K221" i="10" s="1"/>
  <c r="U221" i="10" s="1"/>
  <c r="P220" i="10"/>
  <c r="J221" i="10" a="1"/>
  <c r="J221" i="10" s="1"/>
  <c r="T221" i="10" s="1"/>
  <c r="O220" i="10"/>
  <c r="I221" i="10" a="1"/>
  <c r="I221" i="10" s="1"/>
  <c r="S221" i="10" s="1"/>
  <c r="N220" i="10"/>
  <c r="H221" i="10" a="1"/>
  <c r="H221" i="10" s="1"/>
  <c r="R221" i="10" s="1"/>
  <c r="M220" i="10"/>
  <c r="H222" i="10" l="1" a="1"/>
  <c r="H222" i="10" s="1"/>
  <c r="R222" i="10" s="1"/>
  <c r="M221" i="10"/>
  <c r="I222" i="10" a="1"/>
  <c r="I222" i="10" s="1"/>
  <c r="S222" i="10" s="1"/>
  <c r="N221" i="10"/>
  <c r="J222" i="10" a="1"/>
  <c r="J222" i="10" s="1"/>
  <c r="T222" i="10" s="1"/>
  <c r="O221" i="10"/>
  <c r="K222" i="10" a="1"/>
  <c r="K222" i="10" s="1"/>
  <c r="U222" i="10" s="1"/>
  <c r="P221" i="10"/>
  <c r="G222" i="10" a="1"/>
  <c r="G222" i="10" s="1"/>
  <c r="Q222" i="10" s="1"/>
  <c r="L221" i="10"/>
  <c r="G223" i="10" l="1" a="1"/>
  <c r="G223" i="10" s="1"/>
  <c r="Q223" i="10" s="1"/>
  <c r="L222" i="10"/>
  <c r="K223" i="10" a="1"/>
  <c r="K223" i="10" s="1"/>
  <c r="U223" i="10" s="1"/>
  <c r="P222" i="10"/>
  <c r="J223" i="10" a="1"/>
  <c r="J223" i="10" s="1"/>
  <c r="T223" i="10" s="1"/>
  <c r="O222" i="10"/>
  <c r="I223" i="10" a="1"/>
  <c r="I223" i="10" s="1"/>
  <c r="S223" i="10" s="1"/>
  <c r="N222" i="10"/>
  <c r="H223" i="10" a="1"/>
  <c r="H223" i="10" s="1"/>
  <c r="R223" i="10" s="1"/>
  <c r="M222" i="10"/>
  <c r="H224" i="10" l="1" a="1"/>
  <c r="H224" i="10" s="1"/>
  <c r="R224" i="10" s="1"/>
  <c r="M223" i="10"/>
  <c r="I224" i="10" a="1"/>
  <c r="I224" i="10" s="1"/>
  <c r="S224" i="10" s="1"/>
  <c r="N223" i="10"/>
  <c r="J224" i="10" a="1"/>
  <c r="J224" i="10" s="1"/>
  <c r="T224" i="10" s="1"/>
  <c r="O223" i="10"/>
  <c r="K224" i="10" a="1"/>
  <c r="K224" i="10" s="1"/>
  <c r="U224" i="10" s="1"/>
  <c r="P223" i="10"/>
  <c r="G224" i="10" a="1"/>
  <c r="G224" i="10" s="1"/>
  <c r="Q224" i="10" s="1"/>
  <c r="L223" i="10"/>
  <c r="G225" i="10" l="1" a="1"/>
  <c r="G225" i="10" s="1"/>
  <c r="Q225" i="10" s="1"/>
  <c r="L224" i="10"/>
  <c r="K225" i="10" a="1"/>
  <c r="K225" i="10" s="1"/>
  <c r="U225" i="10" s="1"/>
  <c r="P224" i="10"/>
  <c r="J225" i="10" a="1"/>
  <c r="J225" i="10" s="1"/>
  <c r="T225" i="10" s="1"/>
  <c r="O224" i="10"/>
  <c r="I225" i="10" a="1"/>
  <c r="I225" i="10" s="1"/>
  <c r="S225" i="10" s="1"/>
  <c r="N224" i="10"/>
  <c r="H225" i="10" a="1"/>
  <c r="H225" i="10" s="1"/>
  <c r="R225" i="10" s="1"/>
  <c r="M224" i="10"/>
  <c r="H226" i="10" l="1" a="1"/>
  <c r="H226" i="10" s="1"/>
  <c r="R226" i="10" s="1"/>
  <c r="M225" i="10"/>
  <c r="I226" i="10" a="1"/>
  <c r="I226" i="10" s="1"/>
  <c r="S226" i="10" s="1"/>
  <c r="N225" i="10"/>
  <c r="J226" i="10" a="1"/>
  <c r="J226" i="10" s="1"/>
  <c r="T226" i="10" s="1"/>
  <c r="O225" i="10"/>
  <c r="K226" i="10" a="1"/>
  <c r="K226" i="10" s="1"/>
  <c r="U226" i="10" s="1"/>
  <c r="P225" i="10"/>
  <c r="G226" i="10" a="1"/>
  <c r="G226" i="10" s="1"/>
  <c r="Q226" i="10" s="1"/>
  <c r="L225" i="10"/>
  <c r="G227" i="10" l="1" a="1"/>
  <c r="G227" i="10" s="1"/>
  <c r="Q227" i="10" s="1"/>
  <c r="L226" i="10"/>
  <c r="K227" i="10" a="1"/>
  <c r="K227" i="10" s="1"/>
  <c r="U227" i="10" s="1"/>
  <c r="P226" i="10"/>
  <c r="J227" i="10" a="1"/>
  <c r="J227" i="10" s="1"/>
  <c r="T227" i="10" s="1"/>
  <c r="O226" i="10"/>
  <c r="I227" i="10" a="1"/>
  <c r="I227" i="10" s="1"/>
  <c r="S227" i="10" s="1"/>
  <c r="N226" i="10"/>
  <c r="H227" i="10" a="1"/>
  <c r="H227" i="10" s="1"/>
  <c r="R227" i="10" s="1"/>
  <c r="M226" i="10"/>
  <c r="H228" i="10" l="1" a="1"/>
  <c r="H228" i="10" s="1"/>
  <c r="R228" i="10" s="1"/>
  <c r="M227" i="10"/>
  <c r="I228" i="10" a="1"/>
  <c r="I228" i="10" s="1"/>
  <c r="S228" i="10" s="1"/>
  <c r="N227" i="10"/>
  <c r="J228" i="10" a="1"/>
  <c r="J228" i="10" s="1"/>
  <c r="T228" i="10" s="1"/>
  <c r="O227" i="10"/>
  <c r="K228" i="10" a="1"/>
  <c r="K228" i="10" s="1"/>
  <c r="U228" i="10" s="1"/>
  <c r="P227" i="10"/>
  <c r="G228" i="10" a="1"/>
  <c r="G228" i="10" s="1"/>
  <c r="Q228" i="10" s="1"/>
  <c r="L227" i="10"/>
  <c r="G229" i="10" l="1" a="1"/>
  <c r="G229" i="10" s="1"/>
  <c r="Q229" i="10" s="1"/>
  <c r="L228" i="10"/>
  <c r="K229" i="10" a="1"/>
  <c r="K229" i="10" s="1"/>
  <c r="U229" i="10" s="1"/>
  <c r="P228" i="10"/>
  <c r="J229" i="10" a="1"/>
  <c r="J229" i="10" s="1"/>
  <c r="T229" i="10" s="1"/>
  <c r="O228" i="10"/>
  <c r="I229" i="10" a="1"/>
  <c r="I229" i="10" s="1"/>
  <c r="S229" i="10" s="1"/>
  <c r="N228" i="10"/>
  <c r="H229" i="10" a="1"/>
  <c r="H229" i="10" s="1"/>
  <c r="R229" i="10" s="1"/>
  <c r="M228" i="10"/>
  <c r="H230" i="10" l="1" a="1"/>
  <c r="H230" i="10" s="1"/>
  <c r="R230" i="10" s="1"/>
  <c r="M229" i="10"/>
  <c r="I230" i="10" a="1"/>
  <c r="I230" i="10" s="1"/>
  <c r="S230" i="10" s="1"/>
  <c r="N229" i="10"/>
  <c r="J230" i="10" a="1"/>
  <c r="J230" i="10" s="1"/>
  <c r="T230" i="10" s="1"/>
  <c r="O229" i="10"/>
  <c r="K230" i="10" a="1"/>
  <c r="K230" i="10" s="1"/>
  <c r="U230" i="10" s="1"/>
  <c r="P229" i="10"/>
  <c r="G230" i="10" a="1"/>
  <c r="G230" i="10" s="1"/>
  <c r="Q230" i="10" s="1"/>
  <c r="L229" i="10"/>
  <c r="G231" i="10" l="1" a="1"/>
  <c r="G231" i="10" s="1"/>
  <c r="Q231" i="10" s="1"/>
  <c r="L230" i="10"/>
  <c r="K231" i="10" a="1"/>
  <c r="K231" i="10" s="1"/>
  <c r="U231" i="10" s="1"/>
  <c r="P230" i="10"/>
  <c r="J231" i="10" a="1"/>
  <c r="J231" i="10" s="1"/>
  <c r="T231" i="10" s="1"/>
  <c r="O230" i="10"/>
  <c r="I231" i="10" a="1"/>
  <c r="I231" i="10" s="1"/>
  <c r="S231" i="10" s="1"/>
  <c r="N230" i="10"/>
  <c r="H231" i="10" a="1"/>
  <c r="H231" i="10" s="1"/>
  <c r="R231" i="10" s="1"/>
  <c r="M230" i="10"/>
  <c r="H232" i="10" l="1" a="1"/>
  <c r="H232" i="10" s="1"/>
  <c r="R232" i="10" s="1"/>
  <c r="M231" i="10"/>
  <c r="I232" i="10" a="1"/>
  <c r="I232" i="10" s="1"/>
  <c r="S232" i="10" s="1"/>
  <c r="N231" i="10"/>
  <c r="J232" i="10" a="1"/>
  <c r="J232" i="10" s="1"/>
  <c r="T232" i="10" s="1"/>
  <c r="O231" i="10"/>
  <c r="K232" i="10" a="1"/>
  <c r="K232" i="10" s="1"/>
  <c r="U232" i="10" s="1"/>
  <c r="P231" i="10"/>
  <c r="G232" i="10" a="1"/>
  <c r="G232" i="10" s="1"/>
  <c r="Q232" i="10" s="1"/>
  <c r="L231" i="10"/>
  <c r="G233" i="10" l="1" a="1"/>
  <c r="G233" i="10" s="1"/>
  <c r="Q233" i="10" s="1"/>
  <c r="L232" i="10"/>
  <c r="K233" i="10" a="1"/>
  <c r="K233" i="10" s="1"/>
  <c r="U233" i="10" s="1"/>
  <c r="P232" i="10"/>
  <c r="J233" i="10" a="1"/>
  <c r="J233" i="10" s="1"/>
  <c r="T233" i="10" s="1"/>
  <c r="O232" i="10"/>
  <c r="I233" i="10" a="1"/>
  <c r="I233" i="10" s="1"/>
  <c r="S233" i="10" s="1"/>
  <c r="N232" i="10"/>
  <c r="H233" i="10" a="1"/>
  <c r="H233" i="10" s="1"/>
  <c r="R233" i="10" s="1"/>
  <c r="M232" i="10"/>
  <c r="H234" i="10" l="1" a="1"/>
  <c r="H234" i="10" s="1"/>
  <c r="R234" i="10" s="1"/>
  <c r="M233" i="10"/>
  <c r="I234" i="10" a="1"/>
  <c r="I234" i="10" s="1"/>
  <c r="S234" i="10" s="1"/>
  <c r="N233" i="10"/>
  <c r="J234" i="10" a="1"/>
  <c r="J234" i="10" s="1"/>
  <c r="T234" i="10" s="1"/>
  <c r="O233" i="10"/>
  <c r="K234" i="10" a="1"/>
  <c r="K234" i="10" s="1"/>
  <c r="U234" i="10" s="1"/>
  <c r="P233" i="10"/>
  <c r="G234" i="10" a="1"/>
  <c r="G234" i="10" s="1"/>
  <c r="Q234" i="10" s="1"/>
  <c r="L233" i="10"/>
  <c r="G235" i="10" l="1" a="1"/>
  <c r="G235" i="10" s="1"/>
  <c r="Q235" i="10" s="1"/>
  <c r="L234" i="10"/>
  <c r="K235" i="10" a="1"/>
  <c r="K235" i="10" s="1"/>
  <c r="U235" i="10" s="1"/>
  <c r="P234" i="10"/>
  <c r="J235" i="10" a="1"/>
  <c r="J235" i="10" s="1"/>
  <c r="T235" i="10" s="1"/>
  <c r="O234" i="10"/>
  <c r="I235" i="10" a="1"/>
  <c r="I235" i="10" s="1"/>
  <c r="S235" i="10" s="1"/>
  <c r="N234" i="10"/>
  <c r="H235" i="10" a="1"/>
  <c r="H235" i="10" s="1"/>
  <c r="R235" i="10" s="1"/>
  <c r="M234" i="10"/>
  <c r="H236" i="10" l="1" a="1"/>
  <c r="H236" i="10" s="1"/>
  <c r="R236" i="10" s="1"/>
  <c r="M235" i="10"/>
  <c r="I236" i="10" a="1"/>
  <c r="I236" i="10" s="1"/>
  <c r="S236" i="10" s="1"/>
  <c r="N235" i="10"/>
  <c r="J236" i="10" a="1"/>
  <c r="J236" i="10" s="1"/>
  <c r="T236" i="10" s="1"/>
  <c r="O235" i="10"/>
  <c r="K236" i="10" a="1"/>
  <c r="K236" i="10" s="1"/>
  <c r="U236" i="10" s="1"/>
  <c r="P235" i="10"/>
  <c r="G236" i="10" a="1"/>
  <c r="G236" i="10" s="1"/>
  <c r="Q236" i="10" s="1"/>
  <c r="L235" i="10"/>
  <c r="G237" i="10" l="1" a="1"/>
  <c r="G237" i="10" s="1"/>
  <c r="Q237" i="10" s="1"/>
  <c r="L236" i="10"/>
  <c r="K237" i="10" a="1"/>
  <c r="K237" i="10" s="1"/>
  <c r="U237" i="10" s="1"/>
  <c r="P236" i="10"/>
  <c r="J237" i="10" a="1"/>
  <c r="J237" i="10" s="1"/>
  <c r="T237" i="10" s="1"/>
  <c r="O236" i="10"/>
  <c r="I237" i="10" a="1"/>
  <c r="I237" i="10" s="1"/>
  <c r="S237" i="10" s="1"/>
  <c r="N236" i="10"/>
  <c r="H237" i="10" a="1"/>
  <c r="H237" i="10" s="1"/>
  <c r="R237" i="10" s="1"/>
  <c r="M236" i="10"/>
  <c r="H238" i="10" l="1" a="1"/>
  <c r="H238" i="10" s="1"/>
  <c r="R238" i="10" s="1"/>
  <c r="M237" i="10"/>
  <c r="I238" i="10" a="1"/>
  <c r="I238" i="10" s="1"/>
  <c r="S238" i="10" s="1"/>
  <c r="N237" i="10"/>
  <c r="J238" i="10" a="1"/>
  <c r="J238" i="10" s="1"/>
  <c r="T238" i="10" s="1"/>
  <c r="O237" i="10"/>
  <c r="K238" i="10" a="1"/>
  <c r="K238" i="10" s="1"/>
  <c r="U238" i="10" s="1"/>
  <c r="P237" i="10"/>
  <c r="G238" i="10" a="1"/>
  <c r="G238" i="10" s="1"/>
  <c r="Q238" i="10" s="1"/>
  <c r="L237" i="10"/>
  <c r="G239" i="10" l="1" a="1"/>
  <c r="G239" i="10" s="1"/>
  <c r="Q239" i="10" s="1"/>
  <c r="L238" i="10"/>
  <c r="K239" i="10" a="1"/>
  <c r="K239" i="10" s="1"/>
  <c r="U239" i="10" s="1"/>
  <c r="P238" i="10"/>
  <c r="J239" i="10" a="1"/>
  <c r="J239" i="10" s="1"/>
  <c r="T239" i="10" s="1"/>
  <c r="O238" i="10"/>
  <c r="I239" i="10" a="1"/>
  <c r="I239" i="10" s="1"/>
  <c r="S239" i="10" s="1"/>
  <c r="N238" i="10"/>
  <c r="H239" i="10" a="1"/>
  <c r="H239" i="10" s="1"/>
  <c r="R239" i="10" s="1"/>
  <c r="M238" i="10"/>
  <c r="H240" i="10" l="1" a="1"/>
  <c r="H240" i="10" s="1"/>
  <c r="R240" i="10" s="1"/>
  <c r="M239" i="10"/>
  <c r="I240" i="10" a="1"/>
  <c r="I240" i="10" s="1"/>
  <c r="S240" i="10" s="1"/>
  <c r="N239" i="10"/>
  <c r="J240" i="10" a="1"/>
  <c r="J240" i="10" s="1"/>
  <c r="T240" i="10" s="1"/>
  <c r="O239" i="10"/>
  <c r="K240" i="10" a="1"/>
  <c r="K240" i="10" s="1"/>
  <c r="U240" i="10" s="1"/>
  <c r="P239" i="10"/>
  <c r="G240" i="10" a="1"/>
  <c r="G240" i="10" s="1"/>
  <c r="Q240" i="10" s="1"/>
  <c r="L239" i="10"/>
  <c r="G241" i="10" l="1" a="1"/>
  <c r="G241" i="10" s="1"/>
  <c r="Q241" i="10" s="1"/>
  <c r="L240" i="10"/>
  <c r="K241" i="10" a="1"/>
  <c r="K241" i="10" s="1"/>
  <c r="U241" i="10" s="1"/>
  <c r="P240" i="10"/>
  <c r="J241" i="10" a="1"/>
  <c r="J241" i="10" s="1"/>
  <c r="T241" i="10" s="1"/>
  <c r="O240" i="10"/>
  <c r="I241" i="10" a="1"/>
  <c r="I241" i="10" s="1"/>
  <c r="S241" i="10" s="1"/>
  <c r="N240" i="10"/>
  <c r="H241" i="10" a="1"/>
  <c r="H241" i="10" s="1"/>
  <c r="R241" i="10" s="1"/>
  <c r="M240" i="10"/>
  <c r="H242" i="10" l="1" a="1"/>
  <c r="H242" i="10" s="1"/>
  <c r="R242" i="10" s="1"/>
  <c r="M241" i="10"/>
  <c r="I242" i="10" a="1"/>
  <c r="I242" i="10" s="1"/>
  <c r="S242" i="10" s="1"/>
  <c r="N241" i="10"/>
  <c r="J242" i="10" a="1"/>
  <c r="J242" i="10" s="1"/>
  <c r="T242" i="10" s="1"/>
  <c r="O241" i="10"/>
  <c r="K242" i="10" a="1"/>
  <c r="K242" i="10" s="1"/>
  <c r="U242" i="10" s="1"/>
  <c r="P241" i="10"/>
  <c r="G242" i="10" a="1"/>
  <c r="G242" i="10" s="1"/>
  <c r="Q242" i="10" s="1"/>
  <c r="L241" i="10"/>
  <c r="G243" i="10" l="1" a="1"/>
  <c r="G243" i="10" s="1"/>
  <c r="Q243" i="10" s="1"/>
  <c r="L242" i="10"/>
  <c r="K243" i="10" a="1"/>
  <c r="K243" i="10" s="1"/>
  <c r="U243" i="10" s="1"/>
  <c r="P242" i="10"/>
  <c r="J243" i="10" a="1"/>
  <c r="J243" i="10" s="1"/>
  <c r="T243" i="10" s="1"/>
  <c r="O242" i="10"/>
  <c r="I243" i="10" a="1"/>
  <c r="I243" i="10" s="1"/>
  <c r="S243" i="10" s="1"/>
  <c r="N242" i="10"/>
  <c r="H243" i="10" a="1"/>
  <c r="H243" i="10" s="1"/>
  <c r="R243" i="10" s="1"/>
  <c r="M242" i="10"/>
  <c r="H244" i="10" l="1" a="1"/>
  <c r="H244" i="10" s="1"/>
  <c r="R244" i="10" s="1"/>
  <c r="M243" i="10"/>
  <c r="I244" i="10" a="1"/>
  <c r="I244" i="10" s="1"/>
  <c r="S244" i="10" s="1"/>
  <c r="N243" i="10"/>
  <c r="J244" i="10" a="1"/>
  <c r="J244" i="10" s="1"/>
  <c r="T244" i="10" s="1"/>
  <c r="O243" i="10"/>
  <c r="K244" i="10" a="1"/>
  <c r="K244" i="10" s="1"/>
  <c r="U244" i="10" s="1"/>
  <c r="P243" i="10"/>
  <c r="G244" i="10" a="1"/>
  <c r="G244" i="10" s="1"/>
  <c r="Q244" i="10" s="1"/>
  <c r="L243" i="10"/>
  <c r="G245" i="10" l="1" a="1"/>
  <c r="G245" i="10" s="1"/>
  <c r="Q245" i="10" s="1"/>
  <c r="L244" i="10"/>
  <c r="K245" i="10" a="1"/>
  <c r="K245" i="10" s="1"/>
  <c r="U245" i="10" s="1"/>
  <c r="P244" i="10"/>
  <c r="J245" i="10" a="1"/>
  <c r="J245" i="10" s="1"/>
  <c r="T245" i="10" s="1"/>
  <c r="O244" i="10"/>
  <c r="I245" i="10" a="1"/>
  <c r="I245" i="10" s="1"/>
  <c r="S245" i="10" s="1"/>
  <c r="N244" i="10"/>
  <c r="H245" i="10" a="1"/>
  <c r="H245" i="10" s="1"/>
  <c r="R245" i="10" s="1"/>
  <c r="M244" i="10"/>
  <c r="H246" i="10" l="1" a="1"/>
  <c r="H246" i="10" s="1"/>
  <c r="R246" i="10" s="1"/>
  <c r="M245" i="10"/>
  <c r="I246" i="10" a="1"/>
  <c r="I246" i="10" s="1"/>
  <c r="S246" i="10" s="1"/>
  <c r="N245" i="10"/>
  <c r="J246" i="10" a="1"/>
  <c r="J246" i="10" s="1"/>
  <c r="T246" i="10" s="1"/>
  <c r="O245" i="10"/>
  <c r="K246" i="10" a="1"/>
  <c r="K246" i="10" s="1"/>
  <c r="U246" i="10" s="1"/>
  <c r="P245" i="10"/>
  <c r="G246" i="10" a="1"/>
  <c r="G246" i="10" s="1"/>
  <c r="Q246" i="10" s="1"/>
  <c r="L245" i="10"/>
  <c r="G247" i="10" l="1" a="1"/>
  <c r="G247" i="10" s="1"/>
  <c r="Q247" i="10" s="1"/>
  <c r="L246" i="10"/>
  <c r="K247" i="10" a="1"/>
  <c r="K247" i="10" s="1"/>
  <c r="U247" i="10" s="1"/>
  <c r="P246" i="10"/>
  <c r="J247" i="10" a="1"/>
  <c r="J247" i="10" s="1"/>
  <c r="T247" i="10" s="1"/>
  <c r="O246" i="10"/>
  <c r="I247" i="10" a="1"/>
  <c r="I247" i="10" s="1"/>
  <c r="S247" i="10" s="1"/>
  <c r="N246" i="10"/>
  <c r="H247" i="10" a="1"/>
  <c r="H247" i="10" s="1"/>
  <c r="R247" i="10" s="1"/>
  <c r="M246" i="10"/>
  <c r="H248" i="10" l="1" a="1"/>
  <c r="H248" i="10" s="1"/>
  <c r="R248" i="10" s="1"/>
  <c r="M247" i="10"/>
  <c r="I248" i="10" a="1"/>
  <c r="I248" i="10" s="1"/>
  <c r="S248" i="10" s="1"/>
  <c r="N247" i="10"/>
  <c r="J248" i="10" a="1"/>
  <c r="J248" i="10" s="1"/>
  <c r="T248" i="10" s="1"/>
  <c r="O247" i="10"/>
  <c r="K248" i="10" a="1"/>
  <c r="K248" i="10" s="1"/>
  <c r="U248" i="10" s="1"/>
  <c r="P247" i="10"/>
  <c r="G248" i="10" a="1"/>
  <c r="G248" i="10" s="1"/>
  <c r="Q248" i="10" s="1"/>
  <c r="L247" i="10"/>
  <c r="G249" i="10" l="1" a="1"/>
  <c r="G249" i="10" s="1"/>
  <c r="Q249" i="10" s="1"/>
  <c r="L248" i="10"/>
  <c r="K249" i="10" a="1"/>
  <c r="K249" i="10" s="1"/>
  <c r="U249" i="10" s="1"/>
  <c r="P248" i="10"/>
  <c r="J249" i="10" a="1"/>
  <c r="J249" i="10" s="1"/>
  <c r="T249" i="10" s="1"/>
  <c r="O248" i="10"/>
  <c r="I249" i="10" a="1"/>
  <c r="I249" i="10" s="1"/>
  <c r="S249" i="10" s="1"/>
  <c r="N248" i="10"/>
  <c r="H249" i="10" a="1"/>
  <c r="H249" i="10" s="1"/>
  <c r="R249" i="10" s="1"/>
  <c r="M248" i="10"/>
  <c r="H250" i="10" l="1" a="1"/>
  <c r="H250" i="10" s="1"/>
  <c r="R250" i="10" s="1"/>
  <c r="M249" i="10"/>
  <c r="I250" i="10" a="1"/>
  <c r="I250" i="10" s="1"/>
  <c r="S250" i="10" s="1"/>
  <c r="N249" i="10"/>
  <c r="J250" i="10" a="1"/>
  <c r="J250" i="10" s="1"/>
  <c r="T250" i="10" s="1"/>
  <c r="O249" i="10"/>
  <c r="K250" i="10" a="1"/>
  <c r="K250" i="10" s="1"/>
  <c r="U250" i="10" s="1"/>
  <c r="P249" i="10"/>
  <c r="G250" i="10" a="1"/>
  <c r="G250" i="10" s="1"/>
  <c r="Q250" i="10" s="1"/>
  <c r="L249" i="10"/>
  <c r="G251" i="10" l="1" a="1"/>
  <c r="G251" i="10" s="1"/>
  <c r="Q251" i="10" s="1"/>
  <c r="L250" i="10"/>
  <c r="K251" i="10" a="1"/>
  <c r="K251" i="10" s="1"/>
  <c r="U251" i="10" s="1"/>
  <c r="P250" i="10"/>
  <c r="J251" i="10" a="1"/>
  <c r="J251" i="10" s="1"/>
  <c r="T251" i="10" s="1"/>
  <c r="O250" i="10"/>
  <c r="I251" i="10" a="1"/>
  <c r="I251" i="10" s="1"/>
  <c r="S251" i="10" s="1"/>
  <c r="N250" i="10"/>
  <c r="H251" i="10" a="1"/>
  <c r="H251" i="10" s="1"/>
  <c r="R251" i="10" s="1"/>
  <c r="M250" i="10"/>
  <c r="H252" i="10" l="1" a="1"/>
  <c r="H252" i="10" s="1"/>
  <c r="R252" i="10" s="1"/>
  <c r="M251" i="10"/>
  <c r="I252" i="10" a="1"/>
  <c r="I252" i="10" s="1"/>
  <c r="S252" i="10" s="1"/>
  <c r="N251" i="10"/>
  <c r="J252" i="10" a="1"/>
  <c r="J252" i="10" s="1"/>
  <c r="T252" i="10" s="1"/>
  <c r="O251" i="10"/>
  <c r="K252" i="10" a="1"/>
  <c r="K252" i="10" s="1"/>
  <c r="U252" i="10" s="1"/>
  <c r="P251" i="10"/>
  <c r="G252" i="10" a="1"/>
  <c r="G252" i="10" s="1"/>
  <c r="Q252" i="10" s="1"/>
  <c r="L251" i="10"/>
  <c r="G253" i="10" l="1" a="1"/>
  <c r="G253" i="10" s="1"/>
  <c r="Q253" i="10" s="1"/>
  <c r="L252" i="10"/>
  <c r="K253" i="10" a="1"/>
  <c r="K253" i="10" s="1"/>
  <c r="U253" i="10" s="1"/>
  <c r="P252" i="10"/>
  <c r="J253" i="10" a="1"/>
  <c r="J253" i="10" s="1"/>
  <c r="T253" i="10" s="1"/>
  <c r="O252" i="10"/>
  <c r="I253" i="10" a="1"/>
  <c r="I253" i="10" s="1"/>
  <c r="S253" i="10" s="1"/>
  <c r="N252" i="10"/>
  <c r="H253" i="10" a="1"/>
  <c r="H253" i="10" s="1"/>
  <c r="R253" i="10" s="1"/>
  <c r="M252" i="10"/>
  <c r="H254" i="10" l="1" a="1"/>
  <c r="H254" i="10" s="1"/>
  <c r="R254" i="10" s="1"/>
  <c r="M253" i="10"/>
  <c r="I254" i="10" a="1"/>
  <c r="I254" i="10" s="1"/>
  <c r="S254" i="10" s="1"/>
  <c r="N253" i="10"/>
  <c r="J254" i="10" a="1"/>
  <c r="J254" i="10" s="1"/>
  <c r="T254" i="10" s="1"/>
  <c r="O253" i="10"/>
  <c r="K254" i="10" a="1"/>
  <c r="K254" i="10" s="1"/>
  <c r="U254" i="10" s="1"/>
  <c r="P253" i="10"/>
  <c r="G254" i="10" a="1"/>
  <c r="G254" i="10" s="1"/>
  <c r="Q254" i="10" s="1"/>
  <c r="L253" i="10"/>
  <c r="G255" i="10" l="1" a="1"/>
  <c r="G255" i="10" s="1"/>
  <c r="Q255" i="10" s="1"/>
  <c r="L254" i="10"/>
  <c r="K255" i="10" a="1"/>
  <c r="K255" i="10" s="1"/>
  <c r="U255" i="10" s="1"/>
  <c r="P254" i="10"/>
  <c r="J255" i="10" a="1"/>
  <c r="J255" i="10" s="1"/>
  <c r="T255" i="10" s="1"/>
  <c r="O254" i="10"/>
  <c r="I255" i="10" a="1"/>
  <c r="I255" i="10" s="1"/>
  <c r="S255" i="10" s="1"/>
  <c r="N254" i="10"/>
  <c r="H255" i="10" a="1"/>
  <c r="H255" i="10" s="1"/>
  <c r="R255" i="10" s="1"/>
  <c r="M254" i="10"/>
  <c r="H256" i="10" l="1" a="1"/>
  <c r="H256" i="10" s="1"/>
  <c r="R256" i="10" s="1"/>
  <c r="M255" i="10"/>
  <c r="I256" i="10" a="1"/>
  <c r="I256" i="10" s="1"/>
  <c r="S256" i="10" s="1"/>
  <c r="N255" i="10"/>
  <c r="J256" i="10" a="1"/>
  <c r="J256" i="10" s="1"/>
  <c r="T256" i="10" s="1"/>
  <c r="O255" i="10"/>
  <c r="K256" i="10" a="1"/>
  <c r="K256" i="10" s="1"/>
  <c r="U256" i="10" s="1"/>
  <c r="P255" i="10"/>
  <c r="G256" i="10" a="1"/>
  <c r="G256" i="10" s="1"/>
  <c r="Q256" i="10" s="1"/>
  <c r="L255" i="10"/>
  <c r="G257" i="10" l="1" a="1"/>
  <c r="G257" i="10" s="1"/>
  <c r="Q257" i="10" s="1"/>
  <c r="L256" i="10"/>
  <c r="K257" i="10" a="1"/>
  <c r="K257" i="10" s="1"/>
  <c r="U257" i="10" s="1"/>
  <c r="P256" i="10"/>
  <c r="J257" i="10" a="1"/>
  <c r="J257" i="10" s="1"/>
  <c r="T257" i="10" s="1"/>
  <c r="O256" i="10"/>
  <c r="I257" i="10" a="1"/>
  <c r="I257" i="10" s="1"/>
  <c r="S257" i="10" s="1"/>
  <c r="N256" i="10"/>
  <c r="H257" i="10" a="1"/>
  <c r="H257" i="10" s="1"/>
  <c r="R257" i="10" s="1"/>
  <c r="M256" i="10"/>
  <c r="H258" i="10" l="1" a="1"/>
  <c r="H258" i="10" s="1"/>
  <c r="R258" i="10" s="1"/>
  <c r="M257" i="10"/>
  <c r="I258" i="10" a="1"/>
  <c r="I258" i="10" s="1"/>
  <c r="S258" i="10" s="1"/>
  <c r="N257" i="10"/>
  <c r="J258" i="10" a="1"/>
  <c r="J258" i="10" s="1"/>
  <c r="T258" i="10" s="1"/>
  <c r="O257" i="10"/>
  <c r="K258" i="10" a="1"/>
  <c r="K258" i="10" s="1"/>
  <c r="U258" i="10" s="1"/>
  <c r="P257" i="10"/>
  <c r="G258" i="10" a="1"/>
  <c r="G258" i="10" s="1"/>
  <c r="Q258" i="10" s="1"/>
  <c r="L257" i="10"/>
  <c r="G259" i="10" l="1" a="1"/>
  <c r="G259" i="10" s="1"/>
  <c r="Q259" i="10" s="1"/>
  <c r="L258" i="10"/>
  <c r="K259" i="10" a="1"/>
  <c r="K259" i="10" s="1"/>
  <c r="U259" i="10" s="1"/>
  <c r="P258" i="10"/>
  <c r="J259" i="10" a="1"/>
  <c r="J259" i="10" s="1"/>
  <c r="T259" i="10" s="1"/>
  <c r="O258" i="10"/>
  <c r="I259" i="10" a="1"/>
  <c r="I259" i="10" s="1"/>
  <c r="S259" i="10" s="1"/>
  <c r="N258" i="10"/>
  <c r="H259" i="10" a="1"/>
  <c r="H259" i="10" s="1"/>
  <c r="R259" i="10" s="1"/>
  <c r="M258" i="10"/>
  <c r="H260" i="10" l="1" a="1"/>
  <c r="H260" i="10" s="1"/>
  <c r="R260" i="10" s="1"/>
  <c r="M259" i="10"/>
  <c r="I260" i="10" a="1"/>
  <c r="I260" i="10" s="1"/>
  <c r="S260" i="10" s="1"/>
  <c r="N259" i="10"/>
  <c r="J260" i="10" a="1"/>
  <c r="J260" i="10" s="1"/>
  <c r="T260" i="10" s="1"/>
  <c r="O259" i="10"/>
  <c r="K260" i="10" a="1"/>
  <c r="K260" i="10" s="1"/>
  <c r="U260" i="10" s="1"/>
  <c r="P259" i="10"/>
  <c r="G260" i="10" a="1"/>
  <c r="G260" i="10" s="1"/>
  <c r="Q260" i="10" s="1"/>
  <c r="L259" i="10"/>
  <c r="G261" i="10" l="1" a="1"/>
  <c r="G261" i="10" s="1"/>
  <c r="Q261" i="10" s="1"/>
  <c r="L260" i="10"/>
  <c r="K261" i="10" a="1"/>
  <c r="K261" i="10" s="1"/>
  <c r="U261" i="10" s="1"/>
  <c r="P260" i="10"/>
  <c r="J261" i="10" a="1"/>
  <c r="J261" i="10" s="1"/>
  <c r="T261" i="10" s="1"/>
  <c r="O260" i="10"/>
  <c r="I261" i="10" a="1"/>
  <c r="I261" i="10" s="1"/>
  <c r="S261" i="10" s="1"/>
  <c r="N260" i="10"/>
  <c r="H261" i="10" a="1"/>
  <c r="H261" i="10" s="1"/>
  <c r="R261" i="10" s="1"/>
  <c r="M260" i="10"/>
  <c r="H262" i="10" l="1" a="1"/>
  <c r="H262" i="10" s="1"/>
  <c r="R262" i="10" s="1"/>
  <c r="M261" i="10"/>
  <c r="I262" i="10" a="1"/>
  <c r="I262" i="10" s="1"/>
  <c r="S262" i="10" s="1"/>
  <c r="N261" i="10"/>
  <c r="J262" i="10" a="1"/>
  <c r="J262" i="10" s="1"/>
  <c r="T262" i="10" s="1"/>
  <c r="O261" i="10"/>
  <c r="K262" i="10" a="1"/>
  <c r="K262" i="10" s="1"/>
  <c r="U262" i="10" s="1"/>
  <c r="P261" i="10"/>
  <c r="G262" i="10" a="1"/>
  <c r="G262" i="10" s="1"/>
  <c r="Q262" i="10" s="1"/>
  <c r="L261" i="10"/>
  <c r="G263" i="10" l="1" a="1"/>
  <c r="G263" i="10" s="1"/>
  <c r="Q263" i="10" s="1"/>
  <c r="L262" i="10"/>
  <c r="K263" i="10" a="1"/>
  <c r="K263" i="10" s="1"/>
  <c r="U263" i="10" s="1"/>
  <c r="P262" i="10"/>
  <c r="J263" i="10" a="1"/>
  <c r="J263" i="10" s="1"/>
  <c r="T263" i="10" s="1"/>
  <c r="O262" i="10"/>
  <c r="I263" i="10" a="1"/>
  <c r="I263" i="10" s="1"/>
  <c r="S263" i="10" s="1"/>
  <c r="N262" i="10"/>
  <c r="H263" i="10" a="1"/>
  <c r="H263" i="10" s="1"/>
  <c r="R263" i="10" s="1"/>
  <c r="M262" i="10"/>
  <c r="H264" i="10" l="1" a="1"/>
  <c r="H264" i="10" s="1"/>
  <c r="R264" i="10" s="1"/>
  <c r="M263" i="10"/>
  <c r="I264" i="10" a="1"/>
  <c r="I264" i="10" s="1"/>
  <c r="S264" i="10" s="1"/>
  <c r="N263" i="10"/>
  <c r="J264" i="10" a="1"/>
  <c r="J264" i="10" s="1"/>
  <c r="T264" i="10" s="1"/>
  <c r="O263" i="10"/>
  <c r="K264" i="10" a="1"/>
  <c r="K264" i="10" s="1"/>
  <c r="U264" i="10" s="1"/>
  <c r="P263" i="10"/>
  <c r="G264" i="10" a="1"/>
  <c r="G264" i="10" s="1"/>
  <c r="Q264" i="10" s="1"/>
  <c r="L263" i="10"/>
  <c r="G265" i="10" l="1" a="1"/>
  <c r="G265" i="10" s="1"/>
  <c r="Q265" i="10" s="1"/>
  <c r="L264" i="10"/>
  <c r="K265" i="10" a="1"/>
  <c r="K265" i="10" s="1"/>
  <c r="U265" i="10" s="1"/>
  <c r="P264" i="10"/>
  <c r="J265" i="10" a="1"/>
  <c r="J265" i="10" s="1"/>
  <c r="T265" i="10" s="1"/>
  <c r="O264" i="10"/>
  <c r="I265" i="10" a="1"/>
  <c r="I265" i="10" s="1"/>
  <c r="S265" i="10" s="1"/>
  <c r="N264" i="10"/>
  <c r="H265" i="10" a="1"/>
  <c r="H265" i="10" s="1"/>
  <c r="R265" i="10" s="1"/>
  <c r="M264" i="10"/>
  <c r="H266" i="10" l="1" a="1"/>
  <c r="H266" i="10" s="1"/>
  <c r="R266" i="10" s="1"/>
  <c r="M265" i="10"/>
  <c r="I266" i="10" a="1"/>
  <c r="I266" i="10" s="1"/>
  <c r="S266" i="10" s="1"/>
  <c r="N265" i="10"/>
  <c r="J266" i="10" a="1"/>
  <c r="J266" i="10" s="1"/>
  <c r="T266" i="10" s="1"/>
  <c r="O265" i="10"/>
  <c r="K266" i="10" a="1"/>
  <c r="K266" i="10" s="1"/>
  <c r="U266" i="10" s="1"/>
  <c r="P265" i="10"/>
  <c r="G266" i="10" a="1"/>
  <c r="G266" i="10" s="1"/>
  <c r="Q266" i="10" s="1"/>
  <c r="L265" i="10"/>
  <c r="G267" i="10" l="1" a="1"/>
  <c r="G267" i="10" s="1"/>
  <c r="Q267" i="10" s="1"/>
  <c r="L266" i="10"/>
  <c r="K267" i="10" a="1"/>
  <c r="K267" i="10" s="1"/>
  <c r="U267" i="10" s="1"/>
  <c r="P266" i="10"/>
  <c r="J267" i="10" a="1"/>
  <c r="J267" i="10" s="1"/>
  <c r="T267" i="10" s="1"/>
  <c r="O266" i="10"/>
  <c r="I267" i="10" a="1"/>
  <c r="I267" i="10" s="1"/>
  <c r="S267" i="10" s="1"/>
  <c r="N266" i="10"/>
  <c r="H267" i="10" a="1"/>
  <c r="H267" i="10" s="1"/>
  <c r="R267" i="10" s="1"/>
  <c r="M266" i="10"/>
  <c r="H268" i="10" l="1" a="1"/>
  <c r="H268" i="10" s="1"/>
  <c r="R268" i="10" s="1"/>
  <c r="M267" i="10"/>
  <c r="I268" i="10" a="1"/>
  <c r="I268" i="10" s="1"/>
  <c r="S268" i="10" s="1"/>
  <c r="N267" i="10"/>
  <c r="J268" i="10" a="1"/>
  <c r="J268" i="10" s="1"/>
  <c r="T268" i="10" s="1"/>
  <c r="O267" i="10"/>
  <c r="K268" i="10" a="1"/>
  <c r="K268" i="10" s="1"/>
  <c r="U268" i="10" s="1"/>
  <c r="P267" i="10"/>
  <c r="G268" i="10" a="1"/>
  <c r="G268" i="10" s="1"/>
  <c r="Q268" i="10" s="1"/>
  <c r="L267" i="10"/>
  <c r="G269" i="10" l="1" a="1"/>
  <c r="G269" i="10" s="1"/>
  <c r="Q269" i="10" s="1"/>
  <c r="L268" i="10"/>
  <c r="K269" i="10" a="1"/>
  <c r="K269" i="10" s="1"/>
  <c r="U269" i="10" s="1"/>
  <c r="P268" i="10"/>
  <c r="J269" i="10" a="1"/>
  <c r="J269" i="10" s="1"/>
  <c r="T269" i="10" s="1"/>
  <c r="O268" i="10"/>
  <c r="I269" i="10" a="1"/>
  <c r="I269" i="10" s="1"/>
  <c r="S269" i="10" s="1"/>
  <c r="N268" i="10"/>
  <c r="H269" i="10" a="1"/>
  <c r="H269" i="10" s="1"/>
  <c r="R269" i="10" s="1"/>
  <c r="M268" i="10"/>
  <c r="H270" i="10" l="1" a="1"/>
  <c r="H270" i="10" s="1"/>
  <c r="R270" i="10" s="1"/>
  <c r="M269" i="10"/>
  <c r="I270" i="10" a="1"/>
  <c r="I270" i="10" s="1"/>
  <c r="S270" i="10" s="1"/>
  <c r="N269" i="10"/>
  <c r="J270" i="10" a="1"/>
  <c r="J270" i="10" s="1"/>
  <c r="T270" i="10" s="1"/>
  <c r="O269" i="10"/>
  <c r="K270" i="10" a="1"/>
  <c r="K270" i="10" s="1"/>
  <c r="U270" i="10" s="1"/>
  <c r="P269" i="10"/>
  <c r="G270" i="10" a="1"/>
  <c r="G270" i="10" s="1"/>
  <c r="Q270" i="10" s="1"/>
  <c r="L269" i="10"/>
  <c r="G271" i="10" l="1" a="1"/>
  <c r="G271" i="10" s="1"/>
  <c r="Q271" i="10" s="1"/>
  <c r="L270" i="10"/>
  <c r="K271" i="10" a="1"/>
  <c r="K271" i="10" s="1"/>
  <c r="U271" i="10" s="1"/>
  <c r="P270" i="10"/>
  <c r="J271" i="10" a="1"/>
  <c r="J271" i="10" s="1"/>
  <c r="T271" i="10" s="1"/>
  <c r="O270" i="10"/>
  <c r="I271" i="10" a="1"/>
  <c r="I271" i="10" s="1"/>
  <c r="S271" i="10" s="1"/>
  <c r="N270" i="10"/>
  <c r="H271" i="10" a="1"/>
  <c r="H271" i="10" s="1"/>
  <c r="R271" i="10" s="1"/>
  <c r="M270" i="10"/>
  <c r="H272" i="10" l="1" a="1"/>
  <c r="H272" i="10" s="1"/>
  <c r="R272" i="10" s="1"/>
  <c r="M271" i="10"/>
  <c r="I272" i="10" a="1"/>
  <c r="I272" i="10" s="1"/>
  <c r="S272" i="10" s="1"/>
  <c r="N271" i="10"/>
  <c r="J272" i="10" a="1"/>
  <c r="J272" i="10" s="1"/>
  <c r="T272" i="10" s="1"/>
  <c r="O271" i="10"/>
  <c r="K272" i="10" a="1"/>
  <c r="K272" i="10" s="1"/>
  <c r="U272" i="10" s="1"/>
  <c r="P271" i="10"/>
  <c r="G272" i="10" a="1"/>
  <c r="G272" i="10" s="1"/>
  <c r="Q272" i="10" s="1"/>
  <c r="L271" i="10"/>
  <c r="G273" i="10" l="1" a="1"/>
  <c r="G273" i="10" s="1"/>
  <c r="Q273" i="10" s="1"/>
  <c r="L272" i="10"/>
  <c r="K273" i="10" a="1"/>
  <c r="K273" i="10" s="1"/>
  <c r="U273" i="10" s="1"/>
  <c r="P272" i="10"/>
  <c r="J273" i="10" a="1"/>
  <c r="J273" i="10" s="1"/>
  <c r="T273" i="10" s="1"/>
  <c r="O272" i="10"/>
  <c r="I273" i="10" a="1"/>
  <c r="I273" i="10" s="1"/>
  <c r="S273" i="10" s="1"/>
  <c r="N272" i="10"/>
  <c r="H273" i="10" a="1"/>
  <c r="H273" i="10" s="1"/>
  <c r="R273" i="10" s="1"/>
  <c r="M272" i="10"/>
  <c r="H274" i="10" l="1" a="1"/>
  <c r="H274" i="10" s="1"/>
  <c r="R274" i="10" s="1"/>
  <c r="M273" i="10"/>
  <c r="I274" i="10" a="1"/>
  <c r="I274" i="10" s="1"/>
  <c r="S274" i="10" s="1"/>
  <c r="N273" i="10"/>
  <c r="J274" i="10" a="1"/>
  <c r="J274" i="10" s="1"/>
  <c r="T274" i="10" s="1"/>
  <c r="O273" i="10"/>
  <c r="K274" i="10" a="1"/>
  <c r="K274" i="10" s="1"/>
  <c r="U274" i="10" s="1"/>
  <c r="P273" i="10"/>
  <c r="G274" i="10" a="1"/>
  <c r="G274" i="10" s="1"/>
  <c r="Q274" i="10" s="1"/>
  <c r="L273" i="10"/>
  <c r="G275" i="10" l="1" a="1"/>
  <c r="G275" i="10" s="1"/>
  <c r="Q275" i="10" s="1"/>
  <c r="L274" i="10"/>
  <c r="K275" i="10" a="1"/>
  <c r="K275" i="10" s="1"/>
  <c r="U275" i="10" s="1"/>
  <c r="P274" i="10"/>
  <c r="J275" i="10" a="1"/>
  <c r="J275" i="10" s="1"/>
  <c r="T275" i="10" s="1"/>
  <c r="O274" i="10"/>
  <c r="I275" i="10" a="1"/>
  <c r="I275" i="10" s="1"/>
  <c r="S275" i="10" s="1"/>
  <c r="N274" i="10"/>
  <c r="H275" i="10" a="1"/>
  <c r="H275" i="10" s="1"/>
  <c r="R275" i="10" s="1"/>
  <c r="M274" i="10"/>
  <c r="H276" i="10" l="1" a="1"/>
  <c r="H276" i="10" s="1"/>
  <c r="R276" i="10" s="1"/>
  <c r="M275" i="10"/>
  <c r="I276" i="10" a="1"/>
  <c r="I276" i="10" s="1"/>
  <c r="S276" i="10" s="1"/>
  <c r="N275" i="10"/>
  <c r="J276" i="10" a="1"/>
  <c r="J276" i="10" s="1"/>
  <c r="T276" i="10" s="1"/>
  <c r="O275" i="10"/>
  <c r="K276" i="10" a="1"/>
  <c r="K276" i="10" s="1"/>
  <c r="U276" i="10" s="1"/>
  <c r="P275" i="10"/>
  <c r="G276" i="10" a="1"/>
  <c r="G276" i="10" s="1"/>
  <c r="Q276" i="10" s="1"/>
  <c r="L275" i="10"/>
  <c r="G277" i="10" l="1" a="1"/>
  <c r="G277" i="10" s="1"/>
  <c r="Q277" i="10" s="1"/>
  <c r="L276" i="10"/>
  <c r="K277" i="10" a="1"/>
  <c r="K277" i="10" s="1"/>
  <c r="U277" i="10" s="1"/>
  <c r="P276" i="10"/>
  <c r="J277" i="10" a="1"/>
  <c r="J277" i="10" s="1"/>
  <c r="T277" i="10" s="1"/>
  <c r="O276" i="10"/>
  <c r="I277" i="10" a="1"/>
  <c r="I277" i="10" s="1"/>
  <c r="S277" i="10" s="1"/>
  <c r="N276" i="10"/>
  <c r="H277" i="10" a="1"/>
  <c r="H277" i="10" s="1"/>
  <c r="R277" i="10" s="1"/>
  <c r="M276" i="10"/>
  <c r="H278" i="10" l="1" a="1"/>
  <c r="H278" i="10" s="1"/>
  <c r="R278" i="10" s="1"/>
  <c r="M277" i="10"/>
  <c r="I278" i="10" a="1"/>
  <c r="I278" i="10" s="1"/>
  <c r="S278" i="10" s="1"/>
  <c r="N277" i="10"/>
  <c r="J278" i="10" a="1"/>
  <c r="J278" i="10" s="1"/>
  <c r="T278" i="10" s="1"/>
  <c r="O277" i="10"/>
  <c r="K278" i="10" a="1"/>
  <c r="K278" i="10" s="1"/>
  <c r="U278" i="10" s="1"/>
  <c r="P277" i="10"/>
  <c r="G278" i="10" a="1"/>
  <c r="G278" i="10" s="1"/>
  <c r="Q278" i="10" s="1"/>
  <c r="L277" i="10"/>
  <c r="G279" i="10" l="1" a="1"/>
  <c r="G279" i="10" s="1"/>
  <c r="Q279" i="10" s="1"/>
  <c r="L278" i="10"/>
  <c r="K279" i="10" a="1"/>
  <c r="K279" i="10" s="1"/>
  <c r="U279" i="10" s="1"/>
  <c r="P278" i="10"/>
  <c r="J279" i="10" a="1"/>
  <c r="J279" i="10" s="1"/>
  <c r="T279" i="10" s="1"/>
  <c r="O278" i="10"/>
  <c r="I279" i="10" a="1"/>
  <c r="I279" i="10" s="1"/>
  <c r="S279" i="10" s="1"/>
  <c r="N278" i="10"/>
  <c r="H279" i="10" a="1"/>
  <c r="H279" i="10" s="1"/>
  <c r="R279" i="10" s="1"/>
  <c r="M278" i="10"/>
  <c r="H280" i="10" l="1" a="1"/>
  <c r="H280" i="10" s="1"/>
  <c r="R280" i="10" s="1"/>
  <c r="M279" i="10"/>
  <c r="I280" i="10" a="1"/>
  <c r="I280" i="10" s="1"/>
  <c r="S280" i="10" s="1"/>
  <c r="N279" i="10"/>
  <c r="J280" i="10" a="1"/>
  <c r="J280" i="10" s="1"/>
  <c r="T280" i="10" s="1"/>
  <c r="O279" i="10"/>
  <c r="K280" i="10" a="1"/>
  <c r="K280" i="10" s="1"/>
  <c r="U280" i="10" s="1"/>
  <c r="P279" i="10"/>
  <c r="G280" i="10" a="1"/>
  <c r="G280" i="10" s="1"/>
  <c r="Q280" i="10" s="1"/>
  <c r="L279" i="10"/>
  <c r="G281" i="10" l="1" a="1"/>
  <c r="G281" i="10" s="1"/>
  <c r="Q281" i="10" s="1"/>
  <c r="L280" i="10"/>
  <c r="K281" i="10" a="1"/>
  <c r="K281" i="10" s="1"/>
  <c r="U281" i="10" s="1"/>
  <c r="P280" i="10"/>
  <c r="J281" i="10" a="1"/>
  <c r="J281" i="10" s="1"/>
  <c r="T281" i="10" s="1"/>
  <c r="O280" i="10"/>
  <c r="I281" i="10" a="1"/>
  <c r="I281" i="10" s="1"/>
  <c r="S281" i="10" s="1"/>
  <c r="N280" i="10"/>
  <c r="H281" i="10" a="1"/>
  <c r="H281" i="10" s="1"/>
  <c r="R281" i="10" s="1"/>
  <c r="M280" i="10"/>
  <c r="H282" i="10" l="1" a="1"/>
  <c r="H282" i="10" s="1"/>
  <c r="R282" i="10" s="1"/>
  <c r="M281" i="10"/>
  <c r="I282" i="10" a="1"/>
  <c r="I282" i="10" s="1"/>
  <c r="S282" i="10" s="1"/>
  <c r="N281" i="10"/>
  <c r="J282" i="10" a="1"/>
  <c r="J282" i="10" s="1"/>
  <c r="T282" i="10" s="1"/>
  <c r="O281" i="10"/>
  <c r="K282" i="10" a="1"/>
  <c r="K282" i="10" s="1"/>
  <c r="U282" i="10" s="1"/>
  <c r="P281" i="10"/>
  <c r="G282" i="10" a="1"/>
  <c r="G282" i="10" s="1"/>
  <c r="Q282" i="10" s="1"/>
  <c r="L281" i="10"/>
  <c r="G283" i="10" l="1" a="1"/>
  <c r="G283" i="10" s="1"/>
  <c r="Q283" i="10" s="1"/>
  <c r="L282" i="10"/>
  <c r="K283" i="10" a="1"/>
  <c r="K283" i="10" s="1"/>
  <c r="U283" i="10" s="1"/>
  <c r="P282" i="10"/>
  <c r="J283" i="10" a="1"/>
  <c r="J283" i="10" s="1"/>
  <c r="T283" i="10" s="1"/>
  <c r="O282" i="10"/>
  <c r="I283" i="10" a="1"/>
  <c r="I283" i="10" s="1"/>
  <c r="S283" i="10" s="1"/>
  <c r="N282" i="10"/>
  <c r="H283" i="10" a="1"/>
  <c r="H283" i="10" s="1"/>
  <c r="R283" i="10" s="1"/>
  <c r="M282" i="10"/>
  <c r="H284" i="10" l="1" a="1"/>
  <c r="H284" i="10" s="1"/>
  <c r="R284" i="10" s="1"/>
  <c r="M283" i="10"/>
  <c r="I284" i="10" a="1"/>
  <c r="I284" i="10" s="1"/>
  <c r="S284" i="10" s="1"/>
  <c r="N283" i="10"/>
  <c r="J284" i="10" a="1"/>
  <c r="J284" i="10" s="1"/>
  <c r="T284" i="10" s="1"/>
  <c r="O283" i="10"/>
  <c r="K284" i="10" a="1"/>
  <c r="K284" i="10" s="1"/>
  <c r="U284" i="10" s="1"/>
  <c r="P283" i="10"/>
  <c r="G284" i="10" a="1"/>
  <c r="G284" i="10" s="1"/>
  <c r="Q284" i="10" s="1"/>
  <c r="L283" i="10"/>
  <c r="G285" i="10" l="1" a="1"/>
  <c r="G285" i="10" s="1"/>
  <c r="Q285" i="10" s="1"/>
  <c r="L284" i="10"/>
  <c r="K285" i="10" a="1"/>
  <c r="K285" i="10" s="1"/>
  <c r="U285" i="10" s="1"/>
  <c r="P284" i="10"/>
  <c r="J285" i="10" a="1"/>
  <c r="J285" i="10" s="1"/>
  <c r="T285" i="10" s="1"/>
  <c r="O284" i="10"/>
  <c r="I285" i="10" a="1"/>
  <c r="I285" i="10" s="1"/>
  <c r="S285" i="10" s="1"/>
  <c r="N284" i="10"/>
  <c r="H285" i="10" a="1"/>
  <c r="H285" i="10" s="1"/>
  <c r="R285" i="10" s="1"/>
  <c r="M284" i="10"/>
  <c r="H286" i="10" l="1" a="1"/>
  <c r="H286" i="10" s="1"/>
  <c r="R286" i="10" s="1"/>
  <c r="M285" i="10"/>
  <c r="I286" i="10" a="1"/>
  <c r="I286" i="10" s="1"/>
  <c r="S286" i="10" s="1"/>
  <c r="N285" i="10"/>
  <c r="J286" i="10" a="1"/>
  <c r="J286" i="10" s="1"/>
  <c r="T286" i="10" s="1"/>
  <c r="O285" i="10"/>
  <c r="K286" i="10" a="1"/>
  <c r="K286" i="10" s="1"/>
  <c r="U286" i="10" s="1"/>
  <c r="P285" i="10"/>
  <c r="G286" i="10" a="1"/>
  <c r="G286" i="10" s="1"/>
  <c r="Q286" i="10" s="1"/>
  <c r="L285" i="10"/>
  <c r="G287" i="10" l="1" a="1"/>
  <c r="G287" i="10" s="1"/>
  <c r="Q287" i="10" s="1"/>
  <c r="L286" i="10"/>
  <c r="K287" i="10" a="1"/>
  <c r="K287" i="10" s="1"/>
  <c r="U287" i="10" s="1"/>
  <c r="P286" i="10"/>
  <c r="J287" i="10" a="1"/>
  <c r="J287" i="10" s="1"/>
  <c r="T287" i="10" s="1"/>
  <c r="O286" i="10"/>
  <c r="I287" i="10" a="1"/>
  <c r="I287" i="10" s="1"/>
  <c r="S287" i="10" s="1"/>
  <c r="N286" i="10"/>
  <c r="H287" i="10" a="1"/>
  <c r="H287" i="10" s="1"/>
  <c r="R287" i="10" s="1"/>
  <c r="M286" i="10"/>
  <c r="H288" i="10" l="1" a="1"/>
  <c r="H288" i="10" s="1"/>
  <c r="R288" i="10" s="1"/>
  <c r="M287" i="10"/>
  <c r="I288" i="10" a="1"/>
  <c r="I288" i="10" s="1"/>
  <c r="S288" i="10" s="1"/>
  <c r="N287" i="10"/>
  <c r="J288" i="10" a="1"/>
  <c r="J288" i="10" s="1"/>
  <c r="T288" i="10" s="1"/>
  <c r="O287" i="10"/>
  <c r="K288" i="10" a="1"/>
  <c r="K288" i="10" s="1"/>
  <c r="U288" i="10" s="1"/>
  <c r="P287" i="10"/>
  <c r="G288" i="10" a="1"/>
  <c r="G288" i="10" s="1"/>
  <c r="Q288" i="10" s="1"/>
  <c r="L287" i="10"/>
  <c r="G289" i="10" l="1" a="1"/>
  <c r="G289" i="10" s="1"/>
  <c r="Q289" i="10" s="1"/>
  <c r="L288" i="10"/>
  <c r="K289" i="10" a="1"/>
  <c r="K289" i="10" s="1"/>
  <c r="U289" i="10" s="1"/>
  <c r="P288" i="10"/>
  <c r="J289" i="10" a="1"/>
  <c r="J289" i="10" s="1"/>
  <c r="T289" i="10" s="1"/>
  <c r="O288" i="10"/>
  <c r="I289" i="10" a="1"/>
  <c r="I289" i="10" s="1"/>
  <c r="S289" i="10" s="1"/>
  <c r="N288" i="10"/>
  <c r="H289" i="10" a="1"/>
  <c r="H289" i="10" s="1"/>
  <c r="R289" i="10" s="1"/>
  <c r="M288" i="10"/>
  <c r="H290" i="10" l="1" a="1"/>
  <c r="H290" i="10" s="1"/>
  <c r="R290" i="10" s="1"/>
  <c r="M289" i="10"/>
  <c r="I290" i="10" a="1"/>
  <c r="I290" i="10" s="1"/>
  <c r="S290" i="10" s="1"/>
  <c r="N289" i="10"/>
  <c r="J290" i="10" a="1"/>
  <c r="J290" i="10" s="1"/>
  <c r="T290" i="10" s="1"/>
  <c r="O289" i="10"/>
  <c r="K290" i="10" a="1"/>
  <c r="K290" i="10" s="1"/>
  <c r="U290" i="10" s="1"/>
  <c r="P289" i="10"/>
  <c r="G290" i="10" a="1"/>
  <c r="G290" i="10" s="1"/>
  <c r="Q290" i="10" s="1"/>
  <c r="L289" i="10"/>
  <c r="G291" i="10" l="1" a="1"/>
  <c r="G291" i="10" s="1"/>
  <c r="Q291" i="10" s="1"/>
  <c r="L290" i="10"/>
  <c r="K291" i="10" a="1"/>
  <c r="K291" i="10" s="1"/>
  <c r="U291" i="10" s="1"/>
  <c r="P290" i="10"/>
  <c r="J291" i="10" a="1"/>
  <c r="J291" i="10" s="1"/>
  <c r="T291" i="10" s="1"/>
  <c r="O290" i="10"/>
  <c r="I291" i="10" a="1"/>
  <c r="I291" i="10" s="1"/>
  <c r="S291" i="10" s="1"/>
  <c r="N290" i="10"/>
  <c r="H291" i="10" a="1"/>
  <c r="H291" i="10" s="1"/>
  <c r="R291" i="10" s="1"/>
  <c r="M290" i="10"/>
  <c r="H292" i="10" l="1" a="1"/>
  <c r="H292" i="10" s="1"/>
  <c r="R292" i="10" s="1"/>
  <c r="M291" i="10"/>
  <c r="I292" i="10" a="1"/>
  <c r="I292" i="10" s="1"/>
  <c r="S292" i="10" s="1"/>
  <c r="N291" i="10"/>
  <c r="J292" i="10" a="1"/>
  <c r="J292" i="10" s="1"/>
  <c r="T292" i="10" s="1"/>
  <c r="O291" i="10"/>
  <c r="K292" i="10" a="1"/>
  <c r="K292" i="10" s="1"/>
  <c r="U292" i="10" s="1"/>
  <c r="P291" i="10"/>
  <c r="G292" i="10" a="1"/>
  <c r="G292" i="10" s="1"/>
  <c r="Q292" i="10" s="1"/>
  <c r="L291" i="10"/>
  <c r="G293" i="10" l="1" a="1"/>
  <c r="G293" i="10" s="1"/>
  <c r="Q293" i="10" s="1"/>
  <c r="L292" i="10"/>
  <c r="K293" i="10" a="1"/>
  <c r="K293" i="10" s="1"/>
  <c r="U293" i="10" s="1"/>
  <c r="P292" i="10"/>
  <c r="J293" i="10" a="1"/>
  <c r="J293" i="10" s="1"/>
  <c r="T293" i="10" s="1"/>
  <c r="O292" i="10"/>
  <c r="I293" i="10" a="1"/>
  <c r="I293" i="10" s="1"/>
  <c r="S293" i="10" s="1"/>
  <c r="N292" i="10"/>
  <c r="H293" i="10" a="1"/>
  <c r="H293" i="10" s="1"/>
  <c r="R293" i="10" s="1"/>
  <c r="M292" i="10"/>
  <c r="H294" i="10" l="1" a="1"/>
  <c r="H294" i="10" s="1"/>
  <c r="R294" i="10" s="1"/>
  <c r="M293" i="10"/>
  <c r="I294" i="10" a="1"/>
  <c r="I294" i="10" s="1"/>
  <c r="S294" i="10" s="1"/>
  <c r="N293" i="10"/>
  <c r="J294" i="10" a="1"/>
  <c r="J294" i="10" s="1"/>
  <c r="T294" i="10" s="1"/>
  <c r="O293" i="10"/>
  <c r="K294" i="10" a="1"/>
  <c r="K294" i="10" s="1"/>
  <c r="U294" i="10" s="1"/>
  <c r="P293" i="10"/>
  <c r="G294" i="10" a="1"/>
  <c r="G294" i="10" s="1"/>
  <c r="Q294" i="10" s="1"/>
  <c r="L293" i="10"/>
  <c r="G295" i="10" l="1" a="1"/>
  <c r="G295" i="10" s="1"/>
  <c r="Q295" i="10" s="1"/>
  <c r="L294" i="10"/>
  <c r="K295" i="10" a="1"/>
  <c r="K295" i="10" s="1"/>
  <c r="U295" i="10" s="1"/>
  <c r="P294" i="10"/>
  <c r="J295" i="10" a="1"/>
  <c r="J295" i="10" s="1"/>
  <c r="T295" i="10" s="1"/>
  <c r="O294" i="10"/>
  <c r="I295" i="10" a="1"/>
  <c r="I295" i="10" s="1"/>
  <c r="S295" i="10" s="1"/>
  <c r="N294" i="10"/>
  <c r="H295" i="10" a="1"/>
  <c r="H295" i="10" s="1"/>
  <c r="R295" i="10" s="1"/>
  <c r="M294" i="10"/>
  <c r="H296" i="10" l="1" a="1"/>
  <c r="H296" i="10" s="1"/>
  <c r="R296" i="10" s="1"/>
  <c r="M295" i="10"/>
  <c r="I296" i="10" a="1"/>
  <c r="I296" i="10" s="1"/>
  <c r="S296" i="10" s="1"/>
  <c r="N295" i="10"/>
  <c r="J296" i="10" a="1"/>
  <c r="J296" i="10" s="1"/>
  <c r="T296" i="10" s="1"/>
  <c r="O295" i="10"/>
  <c r="K296" i="10" a="1"/>
  <c r="K296" i="10" s="1"/>
  <c r="U296" i="10" s="1"/>
  <c r="P295" i="10"/>
  <c r="G296" i="10" a="1"/>
  <c r="G296" i="10" s="1"/>
  <c r="Q296" i="10" s="1"/>
  <c r="L295" i="10"/>
  <c r="G297" i="10" l="1" a="1"/>
  <c r="G297" i="10" s="1"/>
  <c r="Q297" i="10" s="1"/>
  <c r="L296" i="10"/>
  <c r="K297" i="10" a="1"/>
  <c r="K297" i="10" s="1"/>
  <c r="U297" i="10" s="1"/>
  <c r="P296" i="10"/>
  <c r="J297" i="10" a="1"/>
  <c r="J297" i="10" s="1"/>
  <c r="T297" i="10" s="1"/>
  <c r="O296" i="10"/>
  <c r="I297" i="10" a="1"/>
  <c r="I297" i="10" s="1"/>
  <c r="S297" i="10" s="1"/>
  <c r="N296" i="10"/>
  <c r="H297" i="10" a="1"/>
  <c r="H297" i="10" s="1"/>
  <c r="R297" i="10" s="1"/>
  <c r="M296" i="10"/>
  <c r="H298" i="10" l="1" a="1"/>
  <c r="H298" i="10" s="1"/>
  <c r="R298" i="10" s="1"/>
  <c r="M297" i="10"/>
  <c r="I298" i="10" a="1"/>
  <c r="I298" i="10" s="1"/>
  <c r="S298" i="10" s="1"/>
  <c r="N297" i="10"/>
  <c r="J298" i="10" a="1"/>
  <c r="J298" i="10" s="1"/>
  <c r="T298" i="10" s="1"/>
  <c r="O297" i="10"/>
  <c r="K298" i="10" a="1"/>
  <c r="K298" i="10" s="1"/>
  <c r="U298" i="10" s="1"/>
  <c r="P297" i="10"/>
  <c r="G298" i="10" a="1"/>
  <c r="G298" i="10" s="1"/>
  <c r="Q298" i="10" s="1"/>
  <c r="L297" i="10"/>
  <c r="G299" i="10" l="1" a="1"/>
  <c r="G299" i="10" s="1"/>
  <c r="Q299" i="10" s="1"/>
  <c r="L298" i="10"/>
  <c r="K299" i="10" a="1"/>
  <c r="K299" i="10" s="1"/>
  <c r="U299" i="10" s="1"/>
  <c r="P298" i="10"/>
  <c r="J299" i="10" a="1"/>
  <c r="J299" i="10" s="1"/>
  <c r="T299" i="10" s="1"/>
  <c r="O298" i="10"/>
  <c r="I299" i="10" a="1"/>
  <c r="I299" i="10" s="1"/>
  <c r="S299" i="10" s="1"/>
  <c r="N298" i="10"/>
  <c r="H299" i="10" a="1"/>
  <c r="H299" i="10" s="1"/>
  <c r="R299" i="10" s="1"/>
  <c r="M298" i="10"/>
  <c r="H300" i="10" l="1" a="1"/>
  <c r="H300" i="10" s="1"/>
  <c r="R300" i="10" s="1"/>
  <c r="M299" i="10"/>
  <c r="I300" i="10" a="1"/>
  <c r="I300" i="10" s="1"/>
  <c r="S300" i="10" s="1"/>
  <c r="N299" i="10"/>
  <c r="J300" i="10" a="1"/>
  <c r="J300" i="10" s="1"/>
  <c r="T300" i="10" s="1"/>
  <c r="O299" i="10"/>
  <c r="K300" i="10" a="1"/>
  <c r="K300" i="10" s="1"/>
  <c r="U300" i="10" s="1"/>
  <c r="P299" i="10"/>
  <c r="G300" i="10" a="1"/>
  <c r="G300" i="10" s="1"/>
  <c r="Q300" i="10" s="1"/>
  <c r="L299" i="10"/>
  <c r="G301" i="10" l="1" a="1"/>
  <c r="G301" i="10" s="1"/>
  <c r="Q301" i="10" s="1"/>
  <c r="L300" i="10"/>
  <c r="K301" i="10" a="1"/>
  <c r="K301" i="10" s="1"/>
  <c r="U301" i="10" s="1"/>
  <c r="P300" i="10"/>
  <c r="J301" i="10" a="1"/>
  <c r="J301" i="10" s="1"/>
  <c r="T301" i="10" s="1"/>
  <c r="O300" i="10"/>
  <c r="I301" i="10" a="1"/>
  <c r="I301" i="10" s="1"/>
  <c r="S301" i="10" s="1"/>
  <c r="N300" i="10"/>
  <c r="H301" i="10" a="1"/>
  <c r="H301" i="10" s="1"/>
  <c r="R301" i="10" s="1"/>
  <c r="M300" i="10"/>
  <c r="H302" i="10" l="1" a="1"/>
  <c r="H302" i="10" s="1"/>
  <c r="R302" i="10" s="1"/>
  <c r="M301" i="10"/>
  <c r="I302" i="10" a="1"/>
  <c r="I302" i="10" s="1"/>
  <c r="S302" i="10" s="1"/>
  <c r="N301" i="10"/>
  <c r="J302" i="10" a="1"/>
  <c r="J302" i="10" s="1"/>
  <c r="T302" i="10" s="1"/>
  <c r="O301" i="10"/>
  <c r="K302" i="10" a="1"/>
  <c r="K302" i="10" s="1"/>
  <c r="U302" i="10" s="1"/>
  <c r="P301" i="10"/>
  <c r="G302" i="10" a="1"/>
  <c r="G302" i="10" s="1"/>
  <c r="Q302" i="10" s="1"/>
  <c r="L301" i="10"/>
  <c r="G303" i="10" l="1" a="1"/>
  <c r="G303" i="10" s="1"/>
  <c r="Q303" i="10" s="1"/>
  <c r="L302" i="10"/>
  <c r="K303" i="10" a="1"/>
  <c r="K303" i="10" s="1"/>
  <c r="U303" i="10" s="1"/>
  <c r="P302" i="10"/>
  <c r="J303" i="10" a="1"/>
  <c r="J303" i="10" s="1"/>
  <c r="T303" i="10" s="1"/>
  <c r="O302" i="10"/>
  <c r="I303" i="10" a="1"/>
  <c r="I303" i="10" s="1"/>
  <c r="S303" i="10" s="1"/>
  <c r="N302" i="10"/>
  <c r="H303" i="10" a="1"/>
  <c r="H303" i="10" s="1"/>
  <c r="R303" i="10" s="1"/>
  <c r="M302" i="10"/>
  <c r="H304" i="10" l="1" a="1"/>
  <c r="H304" i="10" s="1"/>
  <c r="R304" i="10" s="1"/>
  <c r="M303" i="10"/>
  <c r="I304" i="10" a="1"/>
  <c r="I304" i="10" s="1"/>
  <c r="S304" i="10" s="1"/>
  <c r="N303" i="10"/>
  <c r="J304" i="10" a="1"/>
  <c r="J304" i="10" s="1"/>
  <c r="T304" i="10" s="1"/>
  <c r="O303" i="10"/>
  <c r="K304" i="10" a="1"/>
  <c r="K304" i="10" s="1"/>
  <c r="U304" i="10" s="1"/>
  <c r="P303" i="10"/>
  <c r="G304" i="10" a="1"/>
  <c r="G304" i="10" s="1"/>
  <c r="Q304" i="10" s="1"/>
  <c r="L303" i="10"/>
  <c r="G305" i="10" l="1" a="1"/>
  <c r="G305" i="10" s="1"/>
  <c r="Q305" i="10" s="1"/>
  <c r="L304" i="10"/>
  <c r="K305" i="10" a="1"/>
  <c r="K305" i="10" s="1"/>
  <c r="U305" i="10" s="1"/>
  <c r="P304" i="10"/>
  <c r="J305" i="10" a="1"/>
  <c r="J305" i="10" s="1"/>
  <c r="T305" i="10" s="1"/>
  <c r="O304" i="10"/>
  <c r="I305" i="10" a="1"/>
  <c r="I305" i="10" s="1"/>
  <c r="S305" i="10" s="1"/>
  <c r="N304" i="10"/>
  <c r="H305" i="10" a="1"/>
  <c r="H305" i="10" s="1"/>
  <c r="R305" i="10" s="1"/>
  <c r="M304" i="10"/>
  <c r="H306" i="10" l="1" a="1"/>
  <c r="H306" i="10" s="1"/>
  <c r="R306" i="10" s="1"/>
  <c r="M305" i="10"/>
  <c r="I306" i="10" a="1"/>
  <c r="I306" i="10" s="1"/>
  <c r="S306" i="10" s="1"/>
  <c r="N305" i="10"/>
  <c r="J306" i="10" a="1"/>
  <c r="J306" i="10" s="1"/>
  <c r="T306" i="10" s="1"/>
  <c r="O305" i="10"/>
  <c r="K306" i="10" a="1"/>
  <c r="K306" i="10" s="1"/>
  <c r="U306" i="10" s="1"/>
  <c r="P305" i="10"/>
  <c r="G306" i="10" a="1"/>
  <c r="G306" i="10" s="1"/>
  <c r="Q306" i="10" s="1"/>
  <c r="L305" i="10"/>
  <c r="G307" i="10" l="1" a="1"/>
  <c r="G307" i="10" s="1"/>
  <c r="Q307" i="10" s="1"/>
  <c r="L306" i="10"/>
  <c r="K307" i="10" a="1"/>
  <c r="K307" i="10" s="1"/>
  <c r="U307" i="10" s="1"/>
  <c r="P306" i="10"/>
  <c r="J307" i="10" a="1"/>
  <c r="J307" i="10" s="1"/>
  <c r="T307" i="10" s="1"/>
  <c r="O306" i="10"/>
  <c r="I307" i="10" a="1"/>
  <c r="I307" i="10" s="1"/>
  <c r="S307" i="10" s="1"/>
  <c r="N306" i="10"/>
  <c r="H307" i="10" a="1"/>
  <c r="H307" i="10" s="1"/>
  <c r="R307" i="10" s="1"/>
  <c r="M306" i="10"/>
  <c r="H308" i="10" l="1" a="1"/>
  <c r="H308" i="10" s="1"/>
  <c r="R308" i="10" s="1"/>
  <c r="M307" i="10"/>
  <c r="I308" i="10" a="1"/>
  <c r="I308" i="10" s="1"/>
  <c r="S308" i="10" s="1"/>
  <c r="N307" i="10"/>
  <c r="J308" i="10" a="1"/>
  <c r="J308" i="10" s="1"/>
  <c r="T308" i="10" s="1"/>
  <c r="O307" i="10"/>
  <c r="K308" i="10" a="1"/>
  <c r="K308" i="10" s="1"/>
  <c r="U308" i="10" s="1"/>
  <c r="P307" i="10"/>
  <c r="G308" i="10" a="1"/>
  <c r="G308" i="10" s="1"/>
  <c r="Q308" i="10" s="1"/>
  <c r="L307" i="10"/>
  <c r="G309" i="10" l="1" a="1"/>
  <c r="G309" i="10" s="1"/>
  <c r="Q309" i="10" s="1"/>
  <c r="L308" i="10"/>
  <c r="K309" i="10" a="1"/>
  <c r="K309" i="10" s="1"/>
  <c r="U309" i="10" s="1"/>
  <c r="P308" i="10"/>
  <c r="J309" i="10" a="1"/>
  <c r="J309" i="10" s="1"/>
  <c r="T309" i="10" s="1"/>
  <c r="O308" i="10"/>
  <c r="I309" i="10" a="1"/>
  <c r="I309" i="10" s="1"/>
  <c r="S309" i="10" s="1"/>
  <c r="N308" i="10"/>
  <c r="H309" i="10" a="1"/>
  <c r="H309" i="10" s="1"/>
  <c r="R309" i="10" s="1"/>
  <c r="M308" i="10"/>
  <c r="H310" i="10" l="1" a="1"/>
  <c r="H310" i="10" s="1"/>
  <c r="R310" i="10" s="1"/>
  <c r="M309" i="10"/>
  <c r="I310" i="10" a="1"/>
  <c r="I310" i="10" s="1"/>
  <c r="S310" i="10" s="1"/>
  <c r="N309" i="10"/>
  <c r="J310" i="10" a="1"/>
  <c r="J310" i="10" s="1"/>
  <c r="T310" i="10" s="1"/>
  <c r="O309" i="10"/>
  <c r="K310" i="10" a="1"/>
  <c r="K310" i="10" s="1"/>
  <c r="U310" i="10" s="1"/>
  <c r="P309" i="10"/>
  <c r="G310" i="10" a="1"/>
  <c r="G310" i="10" s="1"/>
  <c r="Q310" i="10" s="1"/>
  <c r="L309" i="10"/>
  <c r="G311" i="10" l="1" a="1"/>
  <c r="G311" i="10" s="1"/>
  <c r="Q311" i="10" s="1"/>
  <c r="L310" i="10"/>
  <c r="K311" i="10" a="1"/>
  <c r="K311" i="10" s="1"/>
  <c r="U311" i="10" s="1"/>
  <c r="P310" i="10"/>
  <c r="J311" i="10" a="1"/>
  <c r="J311" i="10" s="1"/>
  <c r="T311" i="10" s="1"/>
  <c r="O310" i="10"/>
  <c r="I311" i="10" a="1"/>
  <c r="I311" i="10" s="1"/>
  <c r="S311" i="10" s="1"/>
  <c r="N310" i="10"/>
  <c r="H311" i="10" a="1"/>
  <c r="H311" i="10" s="1"/>
  <c r="R311" i="10" s="1"/>
  <c r="M310" i="10"/>
  <c r="H312" i="10" l="1" a="1"/>
  <c r="H312" i="10" s="1"/>
  <c r="R312" i="10" s="1"/>
  <c r="M311" i="10"/>
  <c r="I312" i="10" a="1"/>
  <c r="I312" i="10" s="1"/>
  <c r="S312" i="10" s="1"/>
  <c r="N311" i="10"/>
  <c r="J312" i="10" a="1"/>
  <c r="J312" i="10" s="1"/>
  <c r="T312" i="10" s="1"/>
  <c r="O311" i="10"/>
  <c r="K312" i="10" a="1"/>
  <c r="K312" i="10" s="1"/>
  <c r="U312" i="10" s="1"/>
  <c r="P311" i="10"/>
  <c r="G312" i="10" a="1"/>
  <c r="G312" i="10" s="1"/>
  <c r="Q312" i="10" s="1"/>
  <c r="L311" i="10"/>
  <c r="G313" i="10" l="1" a="1"/>
  <c r="G313" i="10" s="1"/>
  <c r="Q313" i="10" s="1"/>
  <c r="L312" i="10"/>
  <c r="K313" i="10" a="1"/>
  <c r="K313" i="10" s="1"/>
  <c r="U313" i="10" s="1"/>
  <c r="P312" i="10"/>
  <c r="J313" i="10" a="1"/>
  <c r="J313" i="10" s="1"/>
  <c r="T313" i="10" s="1"/>
  <c r="O312" i="10"/>
  <c r="I313" i="10" a="1"/>
  <c r="I313" i="10" s="1"/>
  <c r="S313" i="10" s="1"/>
  <c r="N312" i="10"/>
  <c r="H313" i="10" a="1"/>
  <c r="H313" i="10" s="1"/>
  <c r="R313" i="10" s="1"/>
  <c r="M312" i="10"/>
  <c r="H314" i="10" l="1" a="1"/>
  <c r="H314" i="10" s="1"/>
  <c r="R314" i="10" s="1"/>
  <c r="M313" i="10"/>
  <c r="I314" i="10" a="1"/>
  <c r="I314" i="10" s="1"/>
  <c r="S314" i="10" s="1"/>
  <c r="N313" i="10"/>
  <c r="J314" i="10" a="1"/>
  <c r="J314" i="10" s="1"/>
  <c r="T314" i="10" s="1"/>
  <c r="O313" i="10"/>
  <c r="K314" i="10" a="1"/>
  <c r="K314" i="10" s="1"/>
  <c r="U314" i="10" s="1"/>
  <c r="P313" i="10"/>
  <c r="G314" i="10" a="1"/>
  <c r="G314" i="10" s="1"/>
  <c r="Q314" i="10" s="1"/>
  <c r="L313" i="10"/>
  <c r="G315" i="10" l="1" a="1"/>
  <c r="G315" i="10" s="1"/>
  <c r="Q315" i="10" s="1"/>
  <c r="L314" i="10"/>
  <c r="K315" i="10" a="1"/>
  <c r="K315" i="10" s="1"/>
  <c r="U315" i="10" s="1"/>
  <c r="P314" i="10"/>
  <c r="J315" i="10" a="1"/>
  <c r="J315" i="10" s="1"/>
  <c r="T315" i="10" s="1"/>
  <c r="O314" i="10"/>
  <c r="I315" i="10" a="1"/>
  <c r="I315" i="10" s="1"/>
  <c r="S315" i="10" s="1"/>
  <c r="N314" i="10"/>
  <c r="H315" i="10" a="1"/>
  <c r="H315" i="10" s="1"/>
  <c r="R315" i="10" s="1"/>
  <c r="M314" i="10"/>
  <c r="H316" i="10" l="1" a="1"/>
  <c r="H316" i="10" s="1"/>
  <c r="R316" i="10" s="1"/>
  <c r="M315" i="10"/>
  <c r="I316" i="10" a="1"/>
  <c r="I316" i="10" s="1"/>
  <c r="S316" i="10" s="1"/>
  <c r="N315" i="10"/>
  <c r="J316" i="10" a="1"/>
  <c r="J316" i="10" s="1"/>
  <c r="T316" i="10" s="1"/>
  <c r="O315" i="10"/>
  <c r="K316" i="10" a="1"/>
  <c r="K316" i="10" s="1"/>
  <c r="U316" i="10" s="1"/>
  <c r="P315" i="10"/>
  <c r="G316" i="10" a="1"/>
  <c r="G316" i="10" s="1"/>
  <c r="Q316" i="10" s="1"/>
  <c r="L315" i="10"/>
  <c r="G317" i="10" l="1" a="1"/>
  <c r="G317" i="10" s="1"/>
  <c r="Q317" i="10" s="1"/>
  <c r="L316" i="10"/>
  <c r="K317" i="10" a="1"/>
  <c r="K317" i="10" s="1"/>
  <c r="U317" i="10" s="1"/>
  <c r="P316" i="10"/>
  <c r="J317" i="10" a="1"/>
  <c r="J317" i="10" s="1"/>
  <c r="T317" i="10" s="1"/>
  <c r="O316" i="10"/>
  <c r="I317" i="10" a="1"/>
  <c r="I317" i="10" s="1"/>
  <c r="S317" i="10" s="1"/>
  <c r="N316" i="10"/>
  <c r="H317" i="10" a="1"/>
  <c r="H317" i="10" s="1"/>
  <c r="R317" i="10" s="1"/>
  <c r="M316" i="10"/>
  <c r="H318" i="10" l="1" a="1"/>
  <c r="H318" i="10" s="1"/>
  <c r="R318" i="10" s="1"/>
  <c r="M317" i="10"/>
  <c r="I318" i="10" a="1"/>
  <c r="I318" i="10" s="1"/>
  <c r="S318" i="10" s="1"/>
  <c r="N317" i="10"/>
  <c r="J318" i="10" a="1"/>
  <c r="J318" i="10" s="1"/>
  <c r="T318" i="10" s="1"/>
  <c r="O317" i="10"/>
  <c r="K318" i="10" a="1"/>
  <c r="K318" i="10" s="1"/>
  <c r="U318" i="10" s="1"/>
  <c r="P317" i="10"/>
  <c r="G318" i="10" a="1"/>
  <c r="G318" i="10" s="1"/>
  <c r="Q318" i="10" s="1"/>
  <c r="L317" i="10"/>
  <c r="G319" i="10" l="1" a="1"/>
  <c r="G319" i="10" s="1"/>
  <c r="Q319" i="10" s="1"/>
  <c r="L318" i="10"/>
  <c r="K319" i="10" a="1"/>
  <c r="K319" i="10" s="1"/>
  <c r="U319" i="10" s="1"/>
  <c r="P318" i="10"/>
  <c r="J319" i="10" a="1"/>
  <c r="J319" i="10" s="1"/>
  <c r="T319" i="10" s="1"/>
  <c r="O318" i="10"/>
  <c r="I319" i="10" a="1"/>
  <c r="I319" i="10" s="1"/>
  <c r="S319" i="10" s="1"/>
  <c r="N318" i="10"/>
  <c r="H319" i="10" a="1"/>
  <c r="H319" i="10" s="1"/>
  <c r="R319" i="10" s="1"/>
  <c r="M318" i="10"/>
  <c r="H320" i="10" l="1" a="1"/>
  <c r="H320" i="10" s="1"/>
  <c r="R320" i="10" s="1"/>
  <c r="M319" i="10"/>
  <c r="I320" i="10" a="1"/>
  <c r="I320" i="10" s="1"/>
  <c r="S320" i="10" s="1"/>
  <c r="N319" i="10"/>
  <c r="J320" i="10" a="1"/>
  <c r="J320" i="10" s="1"/>
  <c r="T320" i="10" s="1"/>
  <c r="O319" i="10"/>
  <c r="K320" i="10" a="1"/>
  <c r="K320" i="10" s="1"/>
  <c r="U320" i="10" s="1"/>
  <c r="P319" i="10"/>
  <c r="G320" i="10" a="1"/>
  <c r="G320" i="10" s="1"/>
  <c r="Q320" i="10" s="1"/>
  <c r="L319" i="10"/>
  <c r="G321" i="10" l="1" a="1"/>
  <c r="G321" i="10" s="1"/>
  <c r="Q321" i="10" s="1"/>
  <c r="L320" i="10"/>
  <c r="K321" i="10" a="1"/>
  <c r="K321" i="10" s="1"/>
  <c r="U321" i="10" s="1"/>
  <c r="P320" i="10"/>
  <c r="J321" i="10" a="1"/>
  <c r="J321" i="10" s="1"/>
  <c r="T321" i="10" s="1"/>
  <c r="O320" i="10"/>
  <c r="I321" i="10" a="1"/>
  <c r="I321" i="10" s="1"/>
  <c r="S321" i="10" s="1"/>
  <c r="N320" i="10"/>
  <c r="H321" i="10" a="1"/>
  <c r="H321" i="10" s="1"/>
  <c r="R321" i="10" s="1"/>
  <c r="M320" i="10"/>
  <c r="H322" i="10" l="1" a="1"/>
  <c r="H322" i="10" s="1"/>
  <c r="R322" i="10" s="1"/>
  <c r="M321" i="10"/>
  <c r="I322" i="10" a="1"/>
  <c r="I322" i="10" s="1"/>
  <c r="S322" i="10" s="1"/>
  <c r="N321" i="10"/>
  <c r="J322" i="10" a="1"/>
  <c r="J322" i="10" s="1"/>
  <c r="T322" i="10" s="1"/>
  <c r="O321" i="10"/>
  <c r="K322" i="10" a="1"/>
  <c r="K322" i="10" s="1"/>
  <c r="U322" i="10" s="1"/>
  <c r="P321" i="10"/>
  <c r="G322" i="10" a="1"/>
  <c r="G322" i="10" s="1"/>
  <c r="Q322" i="10" s="1"/>
  <c r="L321" i="10"/>
  <c r="G323" i="10" l="1" a="1"/>
  <c r="G323" i="10" s="1"/>
  <c r="Q323" i="10" s="1"/>
  <c r="L322" i="10"/>
  <c r="K323" i="10" a="1"/>
  <c r="K323" i="10" s="1"/>
  <c r="U323" i="10" s="1"/>
  <c r="P322" i="10"/>
  <c r="J323" i="10" a="1"/>
  <c r="J323" i="10" s="1"/>
  <c r="T323" i="10" s="1"/>
  <c r="O322" i="10"/>
  <c r="I323" i="10" a="1"/>
  <c r="I323" i="10" s="1"/>
  <c r="S323" i="10" s="1"/>
  <c r="N322" i="10"/>
  <c r="H323" i="10" a="1"/>
  <c r="H323" i="10" s="1"/>
  <c r="R323" i="10" s="1"/>
  <c r="M322" i="10"/>
  <c r="H324" i="10" l="1" a="1"/>
  <c r="H324" i="10" s="1"/>
  <c r="R324" i="10" s="1"/>
  <c r="M323" i="10"/>
  <c r="I324" i="10" a="1"/>
  <c r="I324" i="10" s="1"/>
  <c r="S324" i="10" s="1"/>
  <c r="N323" i="10"/>
  <c r="J324" i="10" a="1"/>
  <c r="J324" i="10" s="1"/>
  <c r="T324" i="10" s="1"/>
  <c r="O323" i="10"/>
  <c r="K324" i="10" a="1"/>
  <c r="K324" i="10" s="1"/>
  <c r="U324" i="10" s="1"/>
  <c r="P323" i="10"/>
  <c r="G324" i="10" a="1"/>
  <c r="G324" i="10" s="1"/>
  <c r="Q324" i="10" s="1"/>
  <c r="L323" i="10"/>
  <c r="G325" i="10" l="1" a="1"/>
  <c r="G325" i="10" s="1"/>
  <c r="Q325" i="10" s="1"/>
  <c r="L324" i="10"/>
  <c r="K325" i="10" a="1"/>
  <c r="K325" i="10" s="1"/>
  <c r="U325" i="10" s="1"/>
  <c r="P324" i="10"/>
  <c r="J325" i="10" a="1"/>
  <c r="J325" i="10" s="1"/>
  <c r="T325" i="10" s="1"/>
  <c r="O324" i="10"/>
  <c r="I325" i="10" a="1"/>
  <c r="I325" i="10" s="1"/>
  <c r="S325" i="10" s="1"/>
  <c r="N324" i="10"/>
  <c r="H325" i="10" a="1"/>
  <c r="H325" i="10" s="1"/>
  <c r="R325" i="10" s="1"/>
  <c r="M324" i="10"/>
  <c r="H326" i="10" l="1" a="1"/>
  <c r="H326" i="10" s="1"/>
  <c r="R326" i="10" s="1"/>
  <c r="M325" i="10"/>
  <c r="I326" i="10" a="1"/>
  <c r="I326" i="10" s="1"/>
  <c r="S326" i="10" s="1"/>
  <c r="N325" i="10"/>
  <c r="J326" i="10" a="1"/>
  <c r="J326" i="10" s="1"/>
  <c r="T326" i="10" s="1"/>
  <c r="O325" i="10"/>
  <c r="K326" i="10" a="1"/>
  <c r="K326" i="10" s="1"/>
  <c r="U326" i="10" s="1"/>
  <c r="P325" i="10"/>
  <c r="G326" i="10" a="1"/>
  <c r="G326" i="10" s="1"/>
  <c r="Q326" i="10" s="1"/>
  <c r="L325" i="10"/>
  <c r="G327" i="10" l="1" a="1"/>
  <c r="G327" i="10" s="1"/>
  <c r="Q327" i="10" s="1"/>
  <c r="L326" i="10"/>
  <c r="K327" i="10" a="1"/>
  <c r="K327" i="10" s="1"/>
  <c r="U327" i="10" s="1"/>
  <c r="P326" i="10"/>
  <c r="J327" i="10" a="1"/>
  <c r="J327" i="10" s="1"/>
  <c r="T327" i="10" s="1"/>
  <c r="O326" i="10"/>
  <c r="I327" i="10" a="1"/>
  <c r="I327" i="10" s="1"/>
  <c r="S327" i="10" s="1"/>
  <c r="N326" i="10"/>
  <c r="H327" i="10" a="1"/>
  <c r="H327" i="10" s="1"/>
  <c r="R327" i="10" s="1"/>
  <c r="M326" i="10"/>
  <c r="H328" i="10" l="1" a="1"/>
  <c r="H328" i="10" s="1"/>
  <c r="R328" i="10" s="1"/>
  <c r="M327" i="10"/>
  <c r="I328" i="10" a="1"/>
  <c r="I328" i="10" s="1"/>
  <c r="S328" i="10" s="1"/>
  <c r="N327" i="10"/>
  <c r="J328" i="10" a="1"/>
  <c r="J328" i="10" s="1"/>
  <c r="T328" i="10" s="1"/>
  <c r="O327" i="10"/>
  <c r="K328" i="10" a="1"/>
  <c r="K328" i="10" s="1"/>
  <c r="U328" i="10" s="1"/>
  <c r="P327" i="10"/>
  <c r="G328" i="10" a="1"/>
  <c r="G328" i="10" s="1"/>
  <c r="Q328" i="10" s="1"/>
  <c r="L327" i="10"/>
  <c r="G329" i="10" l="1" a="1"/>
  <c r="G329" i="10" s="1"/>
  <c r="Q329" i="10" s="1"/>
  <c r="L328" i="10"/>
  <c r="K329" i="10" a="1"/>
  <c r="K329" i="10" s="1"/>
  <c r="U329" i="10" s="1"/>
  <c r="P328" i="10"/>
  <c r="J329" i="10" a="1"/>
  <c r="J329" i="10" s="1"/>
  <c r="T329" i="10" s="1"/>
  <c r="O328" i="10"/>
  <c r="I329" i="10" a="1"/>
  <c r="I329" i="10" s="1"/>
  <c r="S329" i="10" s="1"/>
  <c r="N328" i="10"/>
  <c r="H329" i="10" a="1"/>
  <c r="H329" i="10" s="1"/>
  <c r="R329" i="10" s="1"/>
  <c r="M328" i="10"/>
  <c r="H330" i="10" l="1" a="1"/>
  <c r="H330" i="10" s="1"/>
  <c r="R330" i="10" s="1"/>
  <c r="M329" i="10"/>
  <c r="I330" i="10" a="1"/>
  <c r="I330" i="10" s="1"/>
  <c r="S330" i="10" s="1"/>
  <c r="N329" i="10"/>
  <c r="J330" i="10" a="1"/>
  <c r="J330" i="10" s="1"/>
  <c r="T330" i="10" s="1"/>
  <c r="O329" i="10"/>
  <c r="K330" i="10" a="1"/>
  <c r="K330" i="10" s="1"/>
  <c r="U330" i="10" s="1"/>
  <c r="P329" i="10"/>
  <c r="G330" i="10" a="1"/>
  <c r="G330" i="10" s="1"/>
  <c r="Q330" i="10" s="1"/>
  <c r="L329" i="10"/>
  <c r="G331" i="10" l="1" a="1"/>
  <c r="G331" i="10" s="1"/>
  <c r="Q331" i="10" s="1"/>
  <c r="L330" i="10"/>
  <c r="K331" i="10" a="1"/>
  <c r="K331" i="10" s="1"/>
  <c r="U331" i="10" s="1"/>
  <c r="P330" i="10"/>
  <c r="J331" i="10" a="1"/>
  <c r="J331" i="10" s="1"/>
  <c r="T331" i="10" s="1"/>
  <c r="O330" i="10"/>
  <c r="I331" i="10" a="1"/>
  <c r="I331" i="10" s="1"/>
  <c r="S331" i="10" s="1"/>
  <c r="N330" i="10"/>
  <c r="H331" i="10" a="1"/>
  <c r="H331" i="10" s="1"/>
  <c r="R331" i="10" s="1"/>
  <c r="M330" i="10"/>
  <c r="H332" i="10" l="1" a="1"/>
  <c r="H332" i="10" s="1"/>
  <c r="R332" i="10" s="1"/>
  <c r="M331" i="10"/>
  <c r="I332" i="10" a="1"/>
  <c r="I332" i="10" s="1"/>
  <c r="S332" i="10" s="1"/>
  <c r="N331" i="10"/>
  <c r="J332" i="10" a="1"/>
  <c r="J332" i="10" s="1"/>
  <c r="T332" i="10" s="1"/>
  <c r="O331" i="10"/>
  <c r="K332" i="10" a="1"/>
  <c r="K332" i="10" s="1"/>
  <c r="U332" i="10" s="1"/>
  <c r="P331" i="10"/>
  <c r="G332" i="10" a="1"/>
  <c r="G332" i="10" s="1"/>
  <c r="Q332" i="10" s="1"/>
  <c r="L331" i="10"/>
  <c r="G333" i="10" l="1" a="1"/>
  <c r="G333" i="10" s="1"/>
  <c r="Q333" i="10" s="1"/>
  <c r="L332" i="10"/>
  <c r="K333" i="10" a="1"/>
  <c r="K333" i="10" s="1"/>
  <c r="U333" i="10" s="1"/>
  <c r="P332" i="10"/>
  <c r="J333" i="10" a="1"/>
  <c r="J333" i="10" s="1"/>
  <c r="T333" i="10" s="1"/>
  <c r="O332" i="10"/>
  <c r="I333" i="10" a="1"/>
  <c r="I333" i="10" s="1"/>
  <c r="S333" i="10" s="1"/>
  <c r="N332" i="10"/>
  <c r="H333" i="10" a="1"/>
  <c r="H333" i="10" s="1"/>
  <c r="R333" i="10" s="1"/>
  <c r="M332" i="10"/>
  <c r="H334" i="10" l="1" a="1"/>
  <c r="H334" i="10" s="1"/>
  <c r="R334" i="10" s="1"/>
  <c r="M333" i="10"/>
  <c r="I334" i="10" a="1"/>
  <c r="I334" i="10" s="1"/>
  <c r="S334" i="10" s="1"/>
  <c r="N333" i="10"/>
  <c r="J334" i="10" a="1"/>
  <c r="J334" i="10" s="1"/>
  <c r="T334" i="10" s="1"/>
  <c r="O333" i="10"/>
  <c r="K334" i="10" a="1"/>
  <c r="K334" i="10" s="1"/>
  <c r="U334" i="10" s="1"/>
  <c r="P333" i="10"/>
  <c r="G334" i="10" a="1"/>
  <c r="G334" i="10" s="1"/>
  <c r="Q334" i="10" s="1"/>
  <c r="L333" i="10"/>
  <c r="G335" i="10" l="1" a="1"/>
  <c r="G335" i="10" s="1"/>
  <c r="Q335" i="10" s="1"/>
  <c r="L334" i="10"/>
  <c r="K335" i="10" a="1"/>
  <c r="K335" i="10" s="1"/>
  <c r="U335" i="10" s="1"/>
  <c r="P334" i="10"/>
  <c r="J335" i="10" a="1"/>
  <c r="J335" i="10" s="1"/>
  <c r="T335" i="10" s="1"/>
  <c r="O334" i="10"/>
  <c r="I335" i="10" a="1"/>
  <c r="I335" i="10" s="1"/>
  <c r="S335" i="10" s="1"/>
  <c r="N334" i="10"/>
  <c r="H335" i="10" a="1"/>
  <c r="H335" i="10" s="1"/>
  <c r="R335" i="10" s="1"/>
  <c r="M334" i="10"/>
  <c r="H336" i="10" l="1" a="1"/>
  <c r="H336" i="10" s="1"/>
  <c r="R336" i="10" s="1"/>
  <c r="M335" i="10"/>
  <c r="I336" i="10" a="1"/>
  <c r="I336" i="10" s="1"/>
  <c r="S336" i="10" s="1"/>
  <c r="N335" i="10"/>
  <c r="J336" i="10" a="1"/>
  <c r="J336" i="10" s="1"/>
  <c r="T336" i="10" s="1"/>
  <c r="O335" i="10"/>
  <c r="K336" i="10" a="1"/>
  <c r="K336" i="10" s="1"/>
  <c r="U336" i="10" s="1"/>
  <c r="P335" i="10"/>
  <c r="G336" i="10" a="1"/>
  <c r="G336" i="10" s="1"/>
  <c r="Q336" i="10" s="1"/>
  <c r="L335" i="10"/>
  <c r="G337" i="10" l="1" a="1"/>
  <c r="G337" i="10" s="1"/>
  <c r="Q337" i="10" s="1"/>
  <c r="L336" i="10"/>
  <c r="K337" i="10" a="1"/>
  <c r="K337" i="10" s="1"/>
  <c r="U337" i="10" s="1"/>
  <c r="P336" i="10"/>
  <c r="J337" i="10" a="1"/>
  <c r="J337" i="10" s="1"/>
  <c r="T337" i="10" s="1"/>
  <c r="O336" i="10"/>
  <c r="I337" i="10" a="1"/>
  <c r="I337" i="10" s="1"/>
  <c r="S337" i="10" s="1"/>
  <c r="N336" i="10"/>
  <c r="H337" i="10" a="1"/>
  <c r="H337" i="10" s="1"/>
  <c r="R337" i="10" s="1"/>
  <c r="M336" i="10"/>
  <c r="H338" i="10" l="1" a="1"/>
  <c r="H338" i="10" s="1"/>
  <c r="R338" i="10" s="1"/>
  <c r="M337" i="10"/>
  <c r="I338" i="10" a="1"/>
  <c r="I338" i="10" s="1"/>
  <c r="S338" i="10" s="1"/>
  <c r="N337" i="10"/>
  <c r="J338" i="10" a="1"/>
  <c r="J338" i="10" s="1"/>
  <c r="T338" i="10" s="1"/>
  <c r="O337" i="10"/>
  <c r="K338" i="10" a="1"/>
  <c r="K338" i="10" s="1"/>
  <c r="U338" i="10" s="1"/>
  <c r="P337" i="10"/>
  <c r="G338" i="10" a="1"/>
  <c r="G338" i="10" s="1"/>
  <c r="Q338" i="10" s="1"/>
  <c r="L337" i="10"/>
  <c r="G339" i="10" l="1" a="1"/>
  <c r="G339" i="10" s="1"/>
  <c r="Q339" i="10" s="1"/>
  <c r="L338" i="10"/>
  <c r="K339" i="10" a="1"/>
  <c r="K339" i="10" s="1"/>
  <c r="U339" i="10" s="1"/>
  <c r="P338" i="10"/>
  <c r="J339" i="10" a="1"/>
  <c r="J339" i="10" s="1"/>
  <c r="T339" i="10" s="1"/>
  <c r="O338" i="10"/>
  <c r="I339" i="10" a="1"/>
  <c r="I339" i="10" s="1"/>
  <c r="S339" i="10" s="1"/>
  <c r="N338" i="10"/>
  <c r="H339" i="10" a="1"/>
  <c r="H339" i="10" s="1"/>
  <c r="R339" i="10" s="1"/>
  <c r="M338" i="10"/>
  <c r="H340" i="10" l="1" a="1"/>
  <c r="H340" i="10" s="1"/>
  <c r="R340" i="10" s="1"/>
  <c r="M339" i="10"/>
  <c r="I340" i="10" a="1"/>
  <c r="I340" i="10" s="1"/>
  <c r="S340" i="10" s="1"/>
  <c r="N339" i="10"/>
  <c r="J340" i="10" a="1"/>
  <c r="J340" i="10" s="1"/>
  <c r="T340" i="10" s="1"/>
  <c r="O339" i="10"/>
  <c r="K340" i="10" a="1"/>
  <c r="K340" i="10" s="1"/>
  <c r="U340" i="10" s="1"/>
  <c r="P339" i="10"/>
  <c r="G340" i="10" a="1"/>
  <c r="G340" i="10" s="1"/>
  <c r="Q340" i="10" s="1"/>
  <c r="L339" i="10"/>
  <c r="G341" i="10" l="1" a="1"/>
  <c r="G341" i="10" s="1"/>
  <c r="Q341" i="10" s="1"/>
  <c r="L340" i="10"/>
  <c r="K341" i="10" a="1"/>
  <c r="K341" i="10" s="1"/>
  <c r="U341" i="10" s="1"/>
  <c r="P340" i="10"/>
  <c r="J341" i="10" a="1"/>
  <c r="J341" i="10" s="1"/>
  <c r="T341" i="10" s="1"/>
  <c r="O340" i="10"/>
  <c r="I341" i="10" a="1"/>
  <c r="I341" i="10" s="1"/>
  <c r="S341" i="10" s="1"/>
  <c r="N340" i="10"/>
  <c r="H341" i="10" a="1"/>
  <c r="H341" i="10" s="1"/>
  <c r="R341" i="10" s="1"/>
  <c r="M340" i="10"/>
  <c r="H342" i="10" l="1" a="1"/>
  <c r="H342" i="10" s="1"/>
  <c r="R342" i="10" s="1"/>
  <c r="M341" i="10"/>
  <c r="I342" i="10" a="1"/>
  <c r="I342" i="10" s="1"/>
  <c r="S342" i="10" s="1"/>
  <c r="N341" i="10"/>
  <c r="J342" i="10" a="1"/>
  <c r="J342" i="10" s="1"/>
  <c r="T342" i="10" s="1"/>
  <c r="O341" i="10"/>
  <c r="K342" i="10" a="1"/>
  <c r="K342" i="10" s="1"/>
  <c r="U342" i="10" s="1"/>
  <c r="P341" i="10"/>
  <c r="G342" i="10" a="1"/>
  <c r="G342" i="10" s="1"/>
  <c r="Q342" i="10" s="1"/>
  <c r="L341" i="10"/>
  <c r="G343" i="10" l="1" a="1"/>
  <c r="G343" i="10" s="1"/>
  <c r="Q343" i="10" s="1"/>
  <c r="L342" i="10"/>
  <c r="K343" i="10" a="1"/>
  <c r="K343" i="10" s="1"/>
  <c r="U343" i="10" s="1"/>
  <c r="P342" i="10"/>
  <c r="J343" i="10" a="1"/>
  <c r="J343" i="10" s="1"/>
  <c r="T343" i="10" s="1"/>
  <c r="O342" i="10"/>
  <c r="I343" i="10" a="1"/>
  <c r="I343" i="10" s="1"/>
  <c r="S343" i="10" s="1"/>
  <c r="N342" i="10"/>
  <c r="H343" i="10" a="1"/>
  <c r="H343" i="10" s="1"/>
  <c r="R343" i="10" s="1"/>
  <c r="M342" i="10"/>
  <c r="H344" i="10" l="1" a="1"/>
  <c r="H344" i="10" s="1"/>
  <c r="R344" i="10" s="1"/>
  <c r="M343" i="10"/>
  <c r="I344" i="10" a="1"/>
  <c r="I344" i="10" s="1"/>
  <c r="S344" i="10" s="1"/>
  <c r="N343" i="10"/>
  <c r="J344" i="10" a="1"/>
  <c r="J344" i="10" s="1"/>
  <c r="T344" i="10" s="1"/>
  <c r="O343" i="10"/>
  <c r="K344" i="10" a="1"/>
  <c r="K344" i="10" s="1"/>
  <c r="U344" i="10" s="1"/>
  <c r="P343" i="10"/>
  <c r="G344" i="10" a="1"/>
  <c r="G344" i="10" s="1"/>
  <c r="Q344" i="10" s="1"/>
  <c r="L343" i="10"/>
  <c r="G345" i="10" l="1" a="1"/>
  <c r="G345" i="10" s="1"/>
  <c r="Q345" i="10" s="1"/>
  <c r="L344" i="10"/>
  <c r="K345" i="10" a="1"/>
  <c r="K345" i="10" s="1"/>
  <c r="U345" i="10" s="1"/>
  <c r="P344" i="10"/>
  <c r="J345" i="10" a="1"/>
  <c r="J345" i="10" s="1"/>
  <c r="T345" i="10" s="1"/>
  <c r="O344" i="10"/>
  <c r="I345" i="10" a="1"/>
  <c r="I345" i="10" s="1"/>
  <c r="S345" i="10" s="1"/>
  <c r="N344" i="10"/>
  <c r="H345" i="10" a="1"/>
  <c r="H345" i="10" s="1"/>
  <c r="R345" i="10" s="1"/>
  <c r="M344" i="10"/>
  <c r="H346" i="10" l="1" a="1"/>
  <c r="H346" i="10" s="1"/>
  <c r="R346" i="10" s="1"/>
  <c r="M345" i="10"/>
  <c r="I346" i="10" a="1"/>
  <c r="I346" i="10" s="1"/>
  <c r="S346" i="10" s="1"/>
  <c r="N345" i="10"/>
  <c r="J346" i="10" a="1"/>
  <c r="J346" i="10" s="1"/>
  <c r="T346" i="10" s="1"/>
  <c r="O345" i="10"/>
  <c r="K346" i="10" a="1"/>
  <c r="K346" i="10" s="1"/>
  <c r="U346" i="10" s="1"/>
  <c r="P345" i="10"/>
  <c r="G346" i="10" a="1"/>
  <c r="G346" i="10" s="1"/>
  <c r="Q346" i="10" s="1"/>
  <c r="L345" i="10"/>
  <c r="G347" i="10" l="1" a="1"/>
  <c r="G347" i="10" s="1"/>
  <c r="Q347" i="10" s="1"/>
  <c r="L346" i="10"/>
  <c r="K347" i="10" a="1"/>
  <c r="K347" i="10" s="1"/>
  <c r="U347" i="10" s="1"/>
  <c r="P346" i="10"/>
  <c r="J347" i="10" a="1"/>
  <c r="J347" i="10" s="1"/>
  <c r="T347" i="10" s="1"/>
  <c r="O346" i="10"/>
  <c r="I347" i="10" a="1"/>
  <c r="I347" i="10" s="1"/>
  <c r="S347" i="10" s="1"/>
  <c r="N346" i="10"/>
  <c r="H347" i="10" a="1"/>
  <c r="H347" i="10" s="1"/>
  <c r="R347" i="10" s="1"/>
  <c r="M346" i="10"/>
  <c r="H348" i="10" l="1" a="1"/>
  <c r="H348" i="10" s="1"/>
  <c r="R348" i="10" s="1"/>
  <c r="M347" i="10"/>
  <c r="I348" i="10" a="1"/>
  <c r="I348" i="10" s="1"/>
  <c r="S348" i="10" s="1"/>
  <c r="N347" i="10"/>
  <c r="J348" i="10" a="1"/>
  <c r="J348" i="10" s="1"/>
  <c r="T348" i="10" s="1"/>
  <c r="O347" i="10"/>
  <c r="K348" i="10" a="1"/>
  <c r="K348" i="10" s="1"/>
  <c r="U348" i="10" s="1"/>
  <c r="P347" i="10"/>
  <c r="G348" i="10" a="1"/>
  <c r="G348" i="10" s="1"/>
  <c r="Q348" i="10" s="1"/>
  <c r="L347" i="10"/>
  <c r="G349" i="10" l="1" a="1"/>
  <c r="G349" i="10" s="1"/>
  <c r="Q349" i="10" s="1"/>
  <c r="L348" i="10"/>
  <c r="K349" i="10" a="1"/>
  <c r="K349" i="10" s="1"/>
  <c r="U349" i="10" s="1"/>
  <c r="P348" i="10"/>
  <c r="J349" i="10" a="1"/>
  <c r="J349" i="10" s="1"/>
  <c r="T349" i="10" s="1"/>
  <c r="O348" i="10"/>
  <c r="I349" i="10" a="1"/>
  <c r="I349" i="10" s="1"/>
  <c r="S349" i="10" s="1"/>
  <c r="N348" i="10"/>
  <c r="H349" i="10" a="1"/>
  <c r="H349" i="10" s="1"/>
  <c r="R349" i="10" s="1"/>
  <c r="M348" i="10"/>
  <c r="H350" i="10" l="1" a="1"/>
  <c r="H350" i="10" s="1"/>
  <c r="R350" i="10" s="1"/>
  <c r="M349" i="10"/>
  <c r="I350" i="10" a="1"/>
  <c r="I350" i="10" s="1"/>
  <c r="S350" i="10" s="1"/>
  <c r="N349" i="10"/>
  <c r="J350" i="10" a="1"/>
  <c r="J350" i="10" s="1"/>
  <c r="T350" i="10" s="1"/>
  <c r="O349" i="10"/>
  <c r="K350" i="10" a="1"/>
  <c r="K350" i="10" s="1"/>
  <c r="U350" i="10" s="1"/>
  <c r="P349" i="10"/>
  <c r="G350" i="10" a="1"/>
  <c r="G350" i="10" s="1"/>
  <c r="Q350" i="10" s="1"/>
  <c r="L349" i="10"/>
  <c r="G351" i="10" l="1" a="1"/>
  <c r="G351" i="10" s="1"/>
  <c r="Q351" i="10" s="1"/>
  <c r="L350" i="10"/>
  <c r="K351" i="10" a="1"/>
  <c r="K351" i="10" s="1"/>
  <c r="U351" i="10" s="1"/>
  <c r="P350" i="10"/>
  <c r="J351" i="10" a="1"/>
  <c r="J351" i="10" s="1"/>
  <c r="T351" i="10" s="1"/>
  <c r="O350" i="10"/>
  <c r="I351" i="10" a="1"/>
  <c r="I351" i="10" s="1"/>
  <c r="S351" i="10" s="1"/>
  <c r="N350" i="10"/>
  <c r="H351" i="10" a="1"/>
  <c r="H351" i="10" s="1"/>
  <c r="R351" i="10" s="1"/>
  <c r="M350" i="10"/>
  <c r="H352" i="10" l="1" a="1"/>
  <c r="H352" i="10" s="1"/>
  <c r="R352" i="10" s="1"/>
  <c r="M351" i="10"/>
  <c r="I352" i="10" a="1"/>
  <c r="I352" i="10" s="1"/>
  <c r="S352" i="10" s="1"/>
  <c r="N351" i="10"/>
  <c r="J352" i="10" a="1"/>
  <c r="J352" i="10" s="1"/>
  <c r="T352" i="10" s="1"/>
  <c r="O351" i="10"/>
  <c r="K352" i="10" a="1"/>
  <c r="K352" i="10" s="1"/>
  <c r="U352" i="10" s="1"/>
  <c r="P351" i="10"/>
  <c r="G352" i="10" a="1"/>
  <c r="G352" i="10" s="1"/>
  <c r="Q352" i="10" s="1"/>
  <c r="L351" i="10"/>
  <c r="G353" i="10" l="1" a="1"/>
  <c r="G353" i="10" s="1"/>
  <c r="Q353" i="10" s="1"/>
  <c r="L352" i="10"/>
  <c r="K353" i="10" a="1"/>
  <c r="K353" i="10" s="1"/>
  <c r="U353" i="10" s="1"/>
  <c r="P352" i="10"/>
  <c r="J353" i="10" a="1"/>
  <c r="J353" i="10" s="1"/>
  <c r="T353" i="10" s="1"/>
  <c r="O352" i="10"/>
  <c r="I353" i="10" a="1"/>
  <c r="I353" i="10" s="1"/>
  <c r="S353" i="10" s="1"/>
  <c r="N352" i="10"/>
  <c r="H353" i="10" a="1"/>
  <c r="H353" i="10" s="1"/>
  <c r="R353" i="10" s="1"/>
  <c r="M352" i="10"/>
  <c r="H354" i="10" l="1" a="1"/>
  <c r="H354" i="10" s="1"/>
  <c r="R354" i="10" s="1"/>
  <c r="M353" i="10"/>
  <c r="I354" i="10" a="1"/>
  <c r="I354" i="10" s="1"/>
  <c r="S354" i="10" s="1"/>
  <c r="N353" i="10"/>
  <c r="J354" i="10" a="1"/>
  <c r="J354" i="10" s="1"/>
  <c r="T354" i="10" s="1"/>
  <c r="O353" i="10"/>
  <c r="K354" i="10" a="1"/>
  <c r="K354" i="10" s="1"/>
  <c r="U354" i="10" s="1"/>
  <c r="P353" i="10"/>
  <c r="G354" i="10" a="1"/>
  <c r="G354" i="10" s="1"/>
  <c r="Q354" i="10" s="1"/>
  <c r="L353" i="10"/>
  <c r="G355" i="10" l="1" a="1"/>
  <c r="G355" i="10" s="1"/>
  <c r="Q355" i="10" s="1"/>
  <c r="L354" i="10"/>
  <c r="K355" i="10" a="1"/>
  <c r="K355" i="10" s="1"/>
  <c r="U355" i="10" s="1"/>
  <c r="P354" i="10"/>
  <c r="J355" i="10" a="1"/>
  <c r="J355" i="10" s="1"/>
  <c r="T355" i="10" s="1"/>
  <c r="O354" i="10"/>
  <c r="I355" i="10" a="1"/>
  <c r="I355" i="10" s="1"/>
  <c r="S355" i="10" s="1"/>
  <c r="N354" i="10"/>
  <c r="H355" i="10" a="1"/>
  <c r="H355" i="10" s="1"/>
  <c r="R355" i="10" s="1"/>
  <c r="M354" i="10"/>
  <c r="H356" i="10" l="1" a="1"/>
  <c r="H356" i="10" s="1"/>
  <c r="R356" i="10" s="1"/>
  <c r="M355" i="10"/>
  <c r="I356" i="10" a="1"/>
  <c r="I356" i="10" s="1"/>
  <c r="S356" i="10" s="1"/>
  <c r="N355" i="10"/>
  <c r="J356" i="10" a="1"/>
  <c r="J356" i="10" s="1"/>
  <c r="T356" i="10" s="1"/>
  <c r="O355" i="10"/>
  <c r="K356" i="10" a="1"/>
  <c r="K356" i="10" s="1"/>
  <c r="U356" i="10" s="1"/>
  <c r="P355" i="10"/>
  <c r="G356" i="10" a="1"/>
  <c r="G356" i="10" s="1"/>
  <c r="Q356" i="10" s="1"/>
  <c r="L355" i="10"/>
  <c r="G357" i="10" l="1" a="1"/>
  <c r="G357" i="10" s="1"/>
  <c r="Q357" i="10" s="1"/>
  <c r="L356" i="10"/>
  <c r="K357" i="10" a="1"/>
  <c r="K357" i="10" s="1"/>
  <c r="U357" i="10" s="1"/>
  <c r="P356" i="10"/>
  <c r="J357" i="10" a="1"/>
  <c r="J357" i="10" s="1"/>
  <c r="T357" i="10" s="1"/>
  <c r="O356" i="10"/>
  <c r="I357" i="10" a="1"/>
  <c r="I357" i="10" s="1"/>
  <c r="S357" i="10" s="1"/>
  <c r="N356" i="10"/>
  <c r="H357" i="10" a="1"/>
  <c r="H357" i="10" s="1"/>
  <c r="R357" i="10" s="1"/>
  <c r="M356" i="10"/>
  <c r="H358" i="10" l="1" a="1"/>
  <c r="H358" i="10" s="1"/>
  <c r="R358" i="10" s="1"/>
  <c r="M357" i="10"/>
  <c r="I358" i="10" a="1"/>
  <c r="I358" i="10" s="1"/>
  <c r="S358" i="10" s="1"/>
  <c r="N357" i="10"/>
  <c r="J358" i="10" a="1"/>
  <c r="J358" i="10" s="1"/>
  <c r="T358" i="10" s="1"/>
  <c r="O357" i="10"/>
  <c r="K358" i="10" a="1"/>
  <c r="K358" i="10" s="1"/>
  <c r="U358" i="10" s="1"/>
  <c r="P357" i="10"/>
  <c r="G358" i="10" a="1"/>
  <c r="G358" i="10" s="1"/>
  <c r="Q358" i="10" s="1"/>
  <c r="L357" i="10"/>
  <c r="G359" i="10" l="1" a="1"/>
  <c r="G359" i="10" s="1"/>
  <c r="Q359" i="10" s="1"/>
  <c r="L358" i="10"/>
  <c r="K359" i="10" a="1"/>
  <c r="K359" i="10" s="1"/>
  <c r="U359" i="10" s="1"/>
  <c r="P358" i="10"/>
  <c r="J359" i="10" a="1"/>
  <c r="J359" i="10" s="1"/>
  <c r="T359" i="10" s="1"/>
  <c r="O358" i="10"/>
  <c r="I359" i="10" a="1"/>
  <c r="I359" i="10" s="1"/>
  <c r="S359" i="10" s="1"/>
  <c r="N358" i="10"/>
  <c r="H359" i="10" a="1"/>
  <c r="H359" i="10" s="1"/>
  <c r="R359" i="10" s="1"/>
  <c r="M358" i="10"/>
  <c r="H360" i="10" l="1" a="1"/>
  <c r="H360" i="10" s="1"/>
  <c r="R360" i="10" s="1"/>
  <c r="M359" i="10"/>
  <c r="I360" i="10" a="1"/>
  <c r="I360" i="10" s="1"/>
  <c r="S360" i="10" s="1"/>
  <c r="N359" i="10"/>
  <c r="J360" i="10" a="1"/>
  <c r="J360" i="10" s="1"/>
  <c r="T360" i="10" s="1"/>
  <c r="O359" i="10"/>
  <c r="K360" i="10" a="1"/>
  <c r="K360" i="10" s="1"/>
  <c r="U360" i="10" s="1"/>
  <c r="P359" i="10"/>
  <c r="G360" i="10" a="1"/>
  <c r="G360" i="10" s="1"/>
  <c r="Q360" i="10" s="1"/>
  <c r="L359" i="10"/>
  <c r="G361" i="10" l="1" a="1"/>
  <c r="G361" i="10" s="1"/>
  <c r="Q361" i="10" s="1"/>
  <c r="L360" i="10"/>
  <c r="K361" i="10" a="1"/>
  <c r="K361" i="10" s="1"/>
  <c r="U361" i="10" s="1"/>
  <c r="P360" i="10"/>
  <c r="J361" i="10" a="1"/>
  <c r="J361" i="10" s="1"/>
  <c r="T361" i="10" s="1"/>
  <c r="O360" i="10"/>
  <c r="I361" i="10" a="1"/>
  <c r="I361" i="10" s="1"/>
  <c r="S361" i="10" s="1"/>
  <c r="N360" i="10"/>
  <c r="H361" i="10" a="1"/>
  <c r="H361" i="10" s="1"/>
  <c r="R361" i="10" s="1"/>
  <c r="M360" i="10"/>
  <c r="H362" i="10" l="1" a="1"/>
  <c r="H362" i="10" s="1"/>
  <c r="R362" i="10" s="1"/>
  <c r="M361" i="10"/>
  <c r="I362" i="10" a="1"/>
  <c r="I362" i="10" s="1"/>
  <c r="S362" i="10" s="1"/>
  <c r="N361" i="10"/>
  <c r="J362" i="10" a="1"/>
  <c r="J362" i="10" s="1"/>
  <c r="T362" i="10" s="1"/>
  <c r="O361" i="10"/>
  <c r="K362" i="10" a="1"/>
  <c r="K362" i="10" s="1"/>
  <c r="U362" i="10" s="1"/>
  <c r="P361" i="10"/>
  <c r="G362" i="10" a="1"/>
  <c r="G362" i="10" s="1"/>
  <c r="Q362" i="10" s="1"/>
  <c r="L361" i="10"/>
  <c r="G363" i="10" l="1" a="1"/>
  <c r="G363" i="10" s="1"/>
  <c r="Q363" i="10" s="1"/>
  <c r="L362" i="10"/>
  <c r="K363" i="10" a="1"/>
  <c r="K363" i="10" s="1"/>
  <c r="U363" i="10" s="1"/>
  <c r="P362" i="10"/>
  <c r="J363" i="10" a="1"/>
  <c r="J363" i="10" s="1"/>
  <c r="T363" i="10" s="1"/>
  <c r="O362" i="10"/>
  <c r="I363" i="10" a="1"/>
  <c r="I363" i="10" s="1"/>
  <c r="S363" i="10" s="1"/>
  <c r="N362" i="10"/>
  <c r="H363" i="10" a="1"/>
  <c r="H363" i="10" s="1"/>
  <c r="R363" i="10" s="1"/>
  <c r="M362" i="10"/>
  <c r="H364" i="10" l="1" a="1"/>
  <c r="H364" i="10" s="1"/>
  <c r="R364" i="10" s="1"/>
  <c r="M363" i="10"/>
  <c r="I364" i="10" a="1"/>
  <c r="I364" i="10" s="1"/>
  <c r="S364" i="10" s="1"/>
  <c r="N363" i="10"/>
  <c r="J364" i="10" a="1"/>
  <c r="J364" i="10" s="1"/>
  <c r="T364" i="10" s="1"/>
  <c r="O363" i="10"/>
  <c r="K364" i="10" a="1"/>
  <c r="K364" i="10" s="1"/>
  <c r="U364" i="10" s="1"/>
  <c r="P363" i="10"/>
  <c r="G364" i="10" a="1"/>
  <c r="G364" i="10" s="1"/>
  <c r="Q364" i="10" s="1"/>
  <c r="L363" i="10"/>
  <c r="G365" i="10" l="1" a="1"/>
  <c r="G365" i="10" s="1"/>
  <c r="Q365" i="10" s="1"/>
  <c r="L364" i="10"/>
  <c r="K365" i="10" a="1"/>
  <c r="K365" i="10" s="1"/>
  <c r="U365" i="10" s="1"/>
  <c r="P364" i="10"/>
  <c r="J365" i="10" a="1"/>
  <c r="J365" i="10" s="1"/>
  <c r="T365" i="10" s="1"/>
  <c r="O364" i="10"/>
  <c r="I365" i="10" a="1"/>
  <c r="I365" i="10" s="1"/>
  <c r="S365" i="10" s="1"/>
  <c r="N364" i="10"/>
  <c r="H365" i="10" a="1"/>
  <c r="H365" i="10" s="1"/>
  <c r="R365" i="10" s="1"/>
  <c r="M364" i="10"/>
  <c r="H366" i="10" l="1" a="1"/>
  <c r="H366" i="10" s="1"/>
  <c r="R366" i="10" s="1"/>
  <c r="M366" i="10" s="1"/>
  <c r="M365" i="10"/>
  <c r="I366" i="10" a="1"/>
  <c r="I366" i="10" s="1"/>
  <c r="S366" i="10" s="1"/>
  <c r="N366" i="10" s="1"/>
  <c r="N365" i="10"/>
  <c r="J366" i="10" a="1"/>
  <c r="J366" i="10" s="1"/>
  <c r="T366" i="10" s="1"/>
  <c r="O366" i="10" s="1"/>
  <c r="O365" i="10"/>
  <c r="K366" i="10" a="1"/>
  <c r="K366" i="10" s="1"/>
  <c r="U366" i="10" s="1"/>
  <c r="P366" i="10" s="1"/>
  <c r="P365" i="10"/>
  <c r="G366" i="10" a="1"/>
  <c r="G366" i="10" s="1"/>
  <c r="Q366" i="10" s="1"/>
  <c r="L366" i="10" s="1"/>
  <c r="L365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<sst xmlns="http://schemas.openxmlformats.org/spreadsheetml/2006/main" count="138" uniqueCount="24">
  <si>
    <t>No</t>
  </si>
  <si>
    <t>Produk</t>
  </si>
  <si>
    <t>Tanggal Order</t>
  </si>
  <si>
    <t>Jumlah</t>
  </si>
  <si>
    <t>SKU PROD A</t>
  </si>
  <si>
    <t>SKU PROD B</t>
  </si>
  <si>
    <t>SKU PROD C</t>
  </si>
  <si>
    <t>SKU PROD D</t>
  </si>
  <si>
    <t>SKU PROD E</t>
  </si>
  <si>
    <t>#</t>
  </si>
  <si>
    <t>Item / SKU</t>
  </si>
  <si>
    <t>Date</t>
  </si>
  <si>
    <t>Stock Qty</t>
  </si>
  <si>
    <t>Status</t>
  </si>
  <si>
    <t>Initial Stock</t>
  </si>
  <si>
    <t>Reorder</t>
  </si>
  <si>
    <t>Warehouse Capacity</t>
  </si>
  <si>
    <t>Min/Max Stock Level</t>
  </si>
  <si>
    <t>Product</t>
  </si>
  <si>
    <t>Full Unit Capacity</t>
  </si>
  <si>
    <t>Min</t>
  </si>
  <si>
    <t>Max</t>
  </si>
  <si>
    <t>SKU</t>
  </si>
  <si>
    <t>Reorder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</si>
</sst>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/>
    <xf numFmtId="15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8203;Demand%20Projec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​Demand Projection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A8D89-9D01-4B74-B753-62E0235C8FD9}" name="Table1" displayName="Table1" ref="A2:B7" totalsRowShown="0">
  <autoFilter ref="A2:B7" xr:uid="{6DBA8D89-9D01-4B74-B753-62E0235C8FD9}"/>
  <tableColumns count="2">
    <tableColumn id="1" xr3:uid="{B258437F-96CA-4EEC-9FD7-28C268650995}" name="Product"/>
    <tableColumn id="2" xr3:uid="{86D79556-FADF-475B-96FE-DAF39735EDF6}" name="Full Unit 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A1294-FF11-4043-8FA3-AB7BE7C80D11}" name="Table14" displayName="Table14" ref="D2:F7" totalsRowShown="0">
  <autoFilter ref="D2:F7" xr:uid="{16AA1294-FF11-4043-8FA3-AB7BE7C80D11}"/>
  <tableColumns count="3">
    <tableColumn id="1" xr3:uid="{9E76F058-9057-4488-B3EE-6E0F73BF6AD8}" name="Product"/>
    <tableColumn id="2" xr3:uid="{24C39A6D-3EE9-4C28-8748-43E5EADD595A}" name="Min" dataDxfId="1">
      <calculatedColumnFormula array="1">_xlfn.LET(
_xlpm.sku,$D3,
_xlpm.dates,_xlfn._xlws.FILTER(
'Demand Projection'!$C$2:$C$169,
('Demand Projection'!$B$2:$B$169=_xlpm.sku)*
('Demand Projection'!$C$2:$C$169&lt;=DATE(2026,12,26))
),
_xlpm.roll,_xlfn.MAP(
_xlpm.dates,
_xlfn.LAMBDA(_xlpm.d,
SUMIFS(
'[1]​Demand Projection'!$D$2:$D$169,
'[1]​Demand Projection'!$B$2:$B$169,_xlpm.sku,
'[1]​Demand Projection'!$C$2:$C$169,"&gt;="&amp;_xlpm.d,
'[1]​Demand Projection'!$C$2:$C$169,"&lt;="&amp;_xlpm.d+5
)
)
),
MIN(_xlpm.roll)
)</calculatedColumnFormula>
    </tableColumn>
    <tableColumn id="3" xr3:uid="{378B6F5B-CF40-431E-A2A6-A6A2E2DFB7E6}" name="Max" dataDxfId="0">
      <calculatedColumnFormula array="1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11B-1064-4141-A229-6DF9A65D0D02}">
  <dimension ref="A1:J1048576"/>
  <sheetViews>
    <sheetView zoomScale="115" zoomScaleNormal="115" workbookViewId="0">
      <selection activeCell="E4" sqref="E4"/>
    </sheetView>
  </sheetViews>
  <sheetFormatPr defaultRowHeight="14.45"/>
  <cols>
    <col min="1" max="1" width="6.28515625" customWidth="1"/>
    <col min="2" max="2" width="15.85546875" customWidth="1"/>
    <col min="3" max="3" width="17.42578125" customWidth="1"/>
    <col min="4" max="4" width="15.7109375" customWidth="1"/>
    <col min="5" max="5" width="14.28515625" customWidth="1"/>
    <col min="6" max="6" width="16.28515625" customWidth="1"/>
    <col min="9" max="9" width="16.7109375" customWidth="1"/>
    <col min="10" max="10" width="11.855468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</row>
    <row r="2" spans="1:10">
      <c r="A2">
        <v>1</v>
      </c>
      <c r="B2" t="s">
        <v>4</v>
      </c>
      <c r="C2" s="1">
        <v>46025</v>
      </c>
      <c r="D2">
        <v>1000</v>
      </c>
      <c r="J2" s="1"/>
    </row>
    <row r="3" spans="1:10">
      <c r="A3">
        <v>2</v>
      </c>
      <c r="B3" t="s">
        <v>5</v>
      </c>
      <c r="C3" s="1">
        <v>46025</v>
      </c>
      <c r="D3">
        <v>6000</v>
      </c>
      <c r="J3" s="1"/>
    </row>
    <row r="4" spans="1:10">
      <c r="A4">
        <v>3</v>
      </c>
      <c r="B4" t="s">
        <v>4</v>
      </c>
      <c r="C4" s="1">
        <v>46026</v>
      </c>
      <c r="D4">
        <v>400</v>
      </c>
      <c r="J4" s="1"/>
    </row>
    <row r="5" spans="1:10">
      <c r="A5">
        <v>4</v>
      </c>
      <c r="B5" t="s">
        <v>6</v>
      </c>
      <c r="C5" s="1">
        <v>46027</v>
      </c>
      <c r="D5">
        <v>900</v>
      </c>
      <c r="J5" s="1"/>
    </row>
    <row r="6" spans="1:10">
      <c r="A6">
        <v>5</v>
      </c>
      <c r="B6" t="s">
        <v>7</v>
      </c>
      <c r="C6" s="1">
        <v>46028</v>
      </c>
      <c r="D6">
        <v>600</v>
      </c>
      <c r="J6" s="1"/>
    </row>
    <row r="7" spans="1:10">
      <c r="A7">
        <v>6</v>
      </c>
      <c r="B7" t="s">
        <v>4</v>
      </c>
      <c r="C7" s="1">
        <v>46029</v>
      </c>
      <c r="D7">
        <v>1000</v>
      </c>
      <c r="J7" s="1"/>
    </row>
    <row r="8" spans="1:10">
      <c r="A8">
        <v>7</v>
      </c>
      <c r="B8" t="s">
        <v>6</v>
      </c>
      <c r="C8" s="1">
        <v>46031</v>
      </c>
      <c r="D8">
        <v>500</v>
      </c>
      <c r="J8" s="1"/>
    </row>
    <row r="9" spans="1:10">
      <c r="A9">
        <v>8</v>
      </c>
      <c r="B9" t="s">
        <v>8</v>
      </c>
      <c r="C9" s="1">
        <v>46034</v>
      </c>
      <c r="D9">
        <v>400</v>
      </c>
      <c r="J9" s="1"/>
    </row>
    <row r="10" spans="1:10">
      <c r="A10">
        <v>9</v>
      </c>
      <c r="B10" t="s">
        <v>5</v>
      </c>
      <c r="C10" s="1">
        <v>46035</v>
      </c>
      <c r="D10">
        <v>600</v>
      </c>
      <c r="J10" s="1"/>
    </row>
    <row r="11" spans="1:10">
      <c r="A11">
        <v>10</v>
      </c>
      <c r="B11" t="s">
        <v>7</v>
      </c>
      <c r="C11" s="1">
        <v>46039</v>
      </c>
      <c r="D11">
        <v>900</v>
      </c>
      <c r="J11" s="1"/>
    </row>
    <row r="12" spans="1:10">
      <c r="A12">
        <v>11</v>
      </c>
      <c r="B12" t="s">
        <v>6</v>
      </c>
      <c r="C12" s="1">
        <v>46042</v>
      </c>
      <c r="D12">
        <v>800</v>
      </c>
      <c r="J12" s="1"/>
    </row>
    <row r="13" spans="1:10">
      <c r="A13">
        <v>12</v>
      </c>
      <c r="B13" t="s">
        <v>4</v>
      </c>
      <c r="C13" s="1">
        <v>46046</v>
      </c>
      <c r="D13">
        <v>1000</v>
      </c>
      <c r="J13" s="1"/>
    </row>
    <row r="14" spans="1:10">
      <c r="A14">
        <v>13</v>
      </c>
      <c r="B14" t="s">
        <v>7</v>
      </c>
      <c r="C14" s="1">
        <v>46050</v>
      </c>
      <c r="D14">
        <v>3000</v>
      </c>
      <c r="J14" s="1"/>
    </row>
    <row r="15" spans="1:10">
      <c r="A15">
        <v>14</v>
      </c>
      <c r="B15" t="s">
        <v>8</v>
      </c>
      <c r="C15" s="1">
        <v>46050</v>
      </c>
      <c r="D15">
        <v>2000</v>
      </c>
      <c r="J15" s="1"/>
    </row>
    <row r="16" spans="1:10" s="3" customFormat="1">
      <c r="A16" s="3">
        <v>15</v>
      </c>
      <c r="B16" s="3" t="str">
        <f>B2</f>
        <v>SKU PROD A</v>
      </c>
      <c r="C16" s="4">
        <f>EDATE(C2,1)</f>
        <v>46056</v>
      </c>
      <c r="D16" s="3" cm="1">
        <f t="array" ref="D16">_xlfn.LET(
_xlpm.m,MONTH(C16),
_xlpm.d,DAY(C16),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ROUNDUP(D2*(1+_xlpm.r),0)
)</f>
        <v>1050</v>
      </c>
      <c r="J16" s="4"/>
    </row>
    <row r="17" spans="1:10">
      <c r="A17">
        <v>16</v>
      </c>
      <c r="B17" s="3" t="str">
        <f t="shared" ref="B17:B80" si="0">B3</f>
        <v>SKU PROD B</v>
      </c>
      <c r="C17" s="4">
        <f t="shared" ref="C17:C80" si="1">EDATE(C3,1)</f>
        <v>46056</v>
      </c>
      <c r="D17" s="3" cm="1">
        <f t="array" ref="D17">_xlfn.LET(
_xlpm.m,MONTH(C17),
_xlpm.d,DAY(C17),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ROUNDUP(D3*(1+_xlpm.r),0)
)</f>
        <v>6300</v>
      </c>
      <c r="J17" s="1"/>
    </row>
    <row r="18" spans="1:10">
      <c r="A18">
        <v>17</v>
      </c>
      <c r="B18" s="3" t="str">
        <f t="shared" si="0"/>
        <v>SKU PROD A</v>
      </c>
      <c r="C18" s="4">
        <f t="shared" si="1"/>
        <v>46057</v>
      </c>
      <c r="D18" s="3" cm="1">
        <f t="array" ref="D18">_xlfn.LET(
_xlpm.m,MONTH(C18),
_xlpm.d,DAY(C18),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ROUNDUP(D4*(1+_xlpm.r),0)
)</f>
        <v>420</v>
      </c>
      <c r="J18" s="1"/>
    </row>
    <row r="19" spans="1:10">
      <c r="A19">
        <v>18</v>
      </c>
      <c r="B19" s="3" t="str">
        <f t="shared" si="0"/>
        <v>SKU PROD C</v>
      </c>
      <c r="C19" s="4">
        <f t="shared" si="1"/>
        <v>46058</v>
      </c>
      <c r="D19" s="3" cm="1">
        <f t="array" ref="D19">_xlfn.LET(
_xlpm.m,MONTH(C19),
_xlpm.d,DAY(C19),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ROUNDUP(D5*(1+_xlpm.r),0)
)</f>
        <v>945</v>
      </c>
      <c r="J19" s="1"/>
    </row>
    <row r="20" spans="1:10">
      <c r="A20">
        <v>19</v>
      </c>
      <c r="B20" s="3" t="str">
        <f t="shared" si="0"/>
        <v>SKU PROD D</v>
      </c>
      <c r="C20" s="4">
        <f t="shared" si="1"/>
        <v>46059</v>
      </c>
      <c r="D20" s="3" cm="1">
        <f t="array" ref="D20">_xlfn.LET(
_xlpm.m,MONTH(C20),
_xlpm.d,DAY(C20),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ROUNDUP(D6*(1+_xlpm.r),0)
)</f>
        <v>630</v>
      </c>
      <c r="J20" s="1"/>
    </row>
    <row r="21" spans="1:10">
      <c r="A21">
        <v>20</v>
      </c>
      <c r="B21" s="3" t="str">
        <f t="shared" si="0"/>
        <v>SKU PROD A</v>
      </c>
      <c r="C21" s="4">
        <f t="shared" si="1"/>
        <v>46060</v>
      </c>
      <c r="D21" s="3" cm="1">
        <f t="array" ref="D21">_xlfn.LET(
_xlpm.m,MONTH(C21),
_xlpm.d,DAY(C21),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ROUNDUP(D7*(1+_xlpm.r),0)
)</f>
        <v>1050</v>
      </c>
      <c r="J21" s="1"/>
    </row>
    <row r="22" spans="1:10">
      <c r="A22">
        <v>21</v>
      </c>
      <c r="B22" s="3" t="str">
        <f t="shared" si="0"/>
        <v>SKU PROD C</v>
      </c>
      <c r="C22" s="4">
        <f t="shared" si="1"/>
        <v>46062</v>
      </c>
      <c r="D22" s="3" cm="1">
        <f t="array" ref="D22">_xlfn.LET(
_xlpm.m,MONTH(C22),
_xlpm.d,DAY(C22),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ROUNDUP(D8*(1+_xlpm.r),0)
)</f>
        <v>525</v>
      </c>
      <c r="J22" s="1"/>
    </row>
    <row r="23" spans="1:10">
      <c r="A23">
        <v>22</v>
      </c>
      <c r="B23" s="3" t="str">
        <f t="shared" si="0"/>
        <v>SKU PROD E</v>
      </c>
      <c r="C23" s="4">
        <f t="shared" si="1"/>
        <v>46065</v>
      </c>
      <c r="D23" s="3" cm="1">
        <f t="array" ref="D23">_xlfn.LET(
_xlpm.m,MONTH(C23),
_xlpm.d,DAY(C23),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ROUNDUP(D9*(1+_xlpm.r),0)
)</f>
        <v>420</v>
      </c>
      <c r="J23" s="1"/>
    </row>
    <row r="24" spans="1:10">
      <c r="A24">
        <v>23</v>
      </c>
      <c r="B24" s="3" t="str">
        <f t="shared" si="0"/>
        <v>SKU PROD B</v>
      </c>
      <c r="C24" s="4">
        <f t="shared" si="1"/>
        <v>46066</v>
      </c>
      <c r="D24" s="3" cm="1">
        <f t="array" ref="D24">_xlfn.LET(
_xlpm.m,MONTH(C24),
_xlpm.d,DAY(C24),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ROUNDUP(D10*(1+_xlpm.r),0)
)</f>
        <v>630</v>
      </c>
      <c r="J24" s="1"/>
    </row>
    <row r="25" spans="1:10">
      <c r="A25">
        <v>24</v>
      </c>
      <c r="B25" s="3" t="str">
        <f t="shared" si="0"/>
        <v>SKU PROD D</v>
      </c>
      <c r="C25" s="4">
        <f t="shared" si="1"/>
        <v>46070</v>
      </c>
      <c r="D25" s="3" cm="1">
        <f t="array" ref="D25">_xlfn.LET(
_xlpm.m,MONTH(C25),
_xlpm.d,DAY(C25),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ROUNDUP(D11*(1+_xlpm.r),0)
)</f>
        <v>968</v>
      </c>
      <c r="J25" s="1"/>
    </row>
    <row r="26" spans="1:10">
      <c r="A26">
        <v>25</v>
      </c>
      <c r="B26" s="3" t="str">
        <f t="shared" si="0"/>
        <v>SKU PROD C</v>
      </c>
      <c r="C26" s="4">
        <f t="shared" si="1"/>
        <v>46073</v>
      </c>
      <c r="D26" s="3" cm="1">
        <f t="array" ref="D26">_xlfn.LET(
_xlpm.m,MONTH(C26),
_xlpm.d,DAY(C26),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ROUNDUP(D12*(1+_xlpm.r),0)
)</f>
        <v>860</v>
      </c>
      <c r="J26" s="1"/>
    </row>
    <row r="27" spans="1:10">
      <c r="A27">
        <v>26</v>
      </c>
      <c r="B27" s="3" t="str">
        <f t="shared" si="0"/>
        <v>SKU PROD A</v>
      </c>
      <c r="C27" s="4">
        <f t="shared" si="1"/>
        <v>46077</v>
      </c>
      <c r="D27" s="3" cm="1">
        <f t="array" ref="D27">_xlfn.LET(
_xlpm.m,MONTH(C27),
_xlpm.d,DAY(C27),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ROUNDUP(D13*(1+_xlpm.r),0)
)</f>
        <v>1075</v>
      </c>
      <c r="J27" s="1"/>
    </row>
    <row r="28" spans="1:10">
      <c r="A28">
        <v>27</v>
      </c>
      <c r="B28" s="3" t="str">
        <f t="shared" si="0"/>
        <v>SKU PROD D</v>
      </c>
      <c r="C28" s="4">
        <f t="shared" si="1"/>
        <v>46081</v>
      </c>
      <c r="D28" s="3" cm="1">
        <f t="array" ref="D28">_xlfn.LET(
_xlpm.m,MONTH(C28),
_xlpm.d,DAY(C28),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ROUNDUP(D14*(1+_xlpm.r),0)
)</f>
        <v>3225</v>
      </c>
      <c r="J28" s="1"/>
    </row>
    <row r="29" spans="1:10">
      <c r="A29">
        <v>28</v>
      </c>
      <c r="B29" s="3" t="str">
        <f t="shared" si="0"/>
        <v>SKU PROD E</v>
      </c>
      <c r="C29" s="4">
        <f t="shared" si="1"/>
        <v>46081</v>
      </c>
      <c r="D29" s="3" cm="1">
        <f t="array" ref="D29">_xlfn.LET(
_xlpm.m,MONTH(C29),
_xlpm.d,DAY(C29),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ROUNDUP(D15*(1+_xlpm.r),0)
)</f>
        <v>2150</v>
      </c>
      <c r="J29" s="1"/>
    </row>
    <row r="30" spans="1:10">
      <c r="A30">
        <v>29</v>
      </c>
      <c r="B30" s="3" t="str">
        <f t="shared" si="0"/>
        <v>SKU PROD A</v>
      </c>
      <c r="C30" s="4">
        <f t="shared" si="1"/>
        <v>46084</v>
      </c>
      <c r="D30" s="3" cm="1">
        <f t="array" ref="D30">_xlfn.LET(
_xlpm.m,MONTH(C30),
_xlpm.d,DAY(C30),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ROUNDUP(D16*(1+_xlpm.r),0)
)</f>
        <v>1029</v>
      </c>
      <c r="J30" s="1"/>
    </row>
    <row r="31" spans="1:10">
      <c r="A31">
        <v>30</v>
      </c>
      <c r="B31" s="3" t="str">
        <f t="shared" si="0"/>
        <v>SKU PROD B</v>
      </c>
      <c r="C31" s="4">
        <f t="shared" si="1"/>
        <v>46084</v>
      </c>
      <c r="D31" s="3" cm="1">
        <f t="array" ref="D31">_xlfn.LET(
_xlpm.m,MONTH(C31),
_xlpm.d,DAY(C31),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ROUNDUP(D17*(1+_xlpm.r),0)
)</f>
        <v>6174</v>
      </c>
      <c r="J31" s="1"/>
    </row>
    <row r="32" spans="1:10">
      <c r="A32">
        <v>31</v>
      </c>
      <c r="B32" s="3" t="str">
        <f t="shared" si="0"/>
        <v>SKU PROD A</v>
      </c>
      <c r="C32" s="4">
        <f t="shared" si="1"/>
        <v>46085</v>
      </c>
      <c r="D32" s="3" cm="1">
        <f t="array" ref="D32">_xlfn.LET(
_xlpm.m,MONTH(C32),
_xlpm.d,DAY(C32),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ROUNDUP(D18*(1+_xlpm.r),0)
)</f>
        <v>412</v>
      </c>
      <c r="J32" s="1"/>
    </row>
    <row r="33" spans="1:10">
      <c r="A33">
        <v>32</v>
      </c>
      <c r="B33" s="3" t="str">
        <f t="shared" si="0"/>
        <v>SKU PROD C</v>
      </c>
      <c r="C33" s="4">
        <f t="shared" si="1"/>
        <v>46086</v>
      </c>
      <c r="D33" s="3" cm="1">
        <f t="array" ref="D33">_xlfn.LET(
_xlpm.m,MONTH(C33),
_xlpm.d,DAY(C33),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ROUNDUP(D19*(1+_xlpm.r),0)
)</f>
        <v>927</v>
      </c>
      <c r="J33" s="1"/>
    </row>
    <row r="34" spans="1:10">
      <c r="A34">
        <v>33</v>
      </c>
      <c r="B34" s="3" t="str">
        <f t="shared" si="0"/>
        <v>SKU PROD D</v>
      </c>
      <c r="C34" s="4">
        <f t="shared" si="1"/>
        <v>46087</v>
      </c>
      <c r="D34" s="3" cm="1">
        <f t="array" ref="D34">_xlfn.LET(
_xlpm.m,MONTH(C34),
_xlpm.d,DAY(C34),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ROUNDUP(D20*(1+_xlpm.r),0)
)</f>
        <v>618</v>
      </c>
      <c r="J34" s="1"/>
    </row>
    <row r="35" spans="1:10">
      <c r="A35">
        <v>34</v>
      </c>
      <c r="B35" s="3" t="str">
        <f t="shared" si="0"/>
        <v>SKU PROD A</v>
      </c>
      <c r="C35" s="4">
        <f t="shared" si="1"/>
        <v>46088</v>
      </c>
      <c r="D35" s="3" cm="1">
        <f t="array" ref="D35">_xlfn.LET(
_xlpm.m,MONTH(C35),
_xlpm.d,DAY(C35),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ROUNDUP(D21*(1+_xlpm.r),0)
)</f>
        <v>1029</v>
      </c>
      <c r="J35" s="1"/>
    </row>
    <row r="36" spans="1:10">
      <c r="A36">
        <v>35</v>
      </c>
      <c r="B36" s="3" t="str">
        <f t="shared" si="0"/>
        <v>SKU PROD C</v>
      </c>
      <c r="C36" s="4">
        <f t="shared" si="1"/>
        <v>46090</v>
      </c>
      <c r="D36" s="3" cm="1">
        <f t="array" ref="D36">_xlfn.LET(
_xlpm.m,MONTH(C36),
_xlpm.d,DAY(C36),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ROUNDUP(D22*(1+_xlpm.r),0)
)</f>
        <v>515</v>
      </c>
      <c r="J36" s="1"/>
    </row>
    <row r="37" spans="1:10">
      <c r="A37">
        <v>36</v>
      </c>
      <c r="B37" s="3" t="str">
        <f t="shared" si="0"/>
        <v>SKU PROD E</v>
      </c>
      <c r="C37" s="4">
        <f t="shared" si="1"/>
        <v>46093</v>
      </c>
      <c r="D37" s="3" cm="1">
        <f t="array" ref="D37">_xlfn.LET(
_xlpm.m,MONTH(C37),
_xlpm.d,DAY(C37),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ROUNDUP(D23*(1+_xlpm.r),0)
)</f>
        <v>412</v>
      </c>
      <c r="J37" s="1"/>
    </row>
    <row r="38" spans="1:10">
      <c r="A38">
        <v>37</v>
      </c>
      <c r="B38" s="3" t="str">
        <f t="shared" si="0"/>
        <v>SKU PROD B</v>
      </c>
      <c r="C38" s="4">
        <f t="shared" si="1"/>
        <v>46094</v>
      </c>
      <c r="D38" s="3" cm="1">
        <f t="array" ref="D38">_xlfn.LET(
_xlpm.m,MONTH(C38),
_xlpm.d,DAY(C38),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ROUNDUP(D24*(1+_xlpm.r),0)
)</f>
        <v>618</v>
      </c>
      <c r="J38" s="1"/>
    </row>
    <row r="39" spans="1:10">
      <c r="A39">
        <v>38</v>
      </c>
      <c r="B39" s="3" t="str">
        <f t="shared" si="0"/>
        <v>SKU PROD D</v>
      </c>
      <c r="C39" s="4">
        <f t="shared" si="1"/>
        <v>46098</v>
      </c>
      <c r="D39" s="3" cm="1">
        <f t="array" ref="D39">_xlfn.LET(
_xlpm.m,MONTH(C39),
_xlpm.d,DAY(C39),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ROUNDUP(D25*(1+_xlpm.r),0)
)</f>
        <v>949</v>
      </c>
      <c r="J39" s="1"/>
    </row>
    <row r="40" spans="1:10">
      <c r="A40">
        <v>39</v>
      </c>
      <c r="B40" s="3" t="str">
        <f t="shared" si="0"/>
        <v>SKU PROD C</v>
      </c>
      <c r="C40" s="4">
        <f t="shared" si="1"/>
        <v>46101</v>
      </c>
      <c r="D40" s="3" cm="1">
        <f t="array" ref="D40">_xlfn.LET(
_xlpm.m,MONTH(C40),
_xlpm.d,DAY(C40),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ROUNDUP(D26*(1+_xlpm.r),0)
)</f>
        <v>873</v>
      </c>
      <c r="J40" s="1"/>
    </row>
    <row r="41" spans="1:10">
      <c r="A41">
        <v>40</v>
      </c>
      <c r="B41" s="3" t="str">
        <f t="shared" si="0"/>
        <v>SKU PROD A</v>
      </c>
      <c r="C41" s="4">
        <f t="shared" si="1"/>
        <v>46105</v>
      </c>
      <c r="D41" s="3" cm="1">
        <f t="array" ref="D41">_xlfn.LET(
_xlpm.m,MONTH(C41),
_xlpm.d,DAY(C41),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ROUNDUP(D27*(1+_xlpm.r),0)
)</f>
        <v>1092</v>
      </c>
      <c r="J41" s="1"/>
    </row>
    <row r="42" spans="1:10">
      <c r="A42">
        <v>41</v>
      </c>
      <c r="B42" s="3" t="str">
        <f t="shared" si="0"/>
        <v>SKU PROD D</v>
      </c>
      <c r="C42" s="4">
        <f t="shared" si="1"/>
        <v>46109</v>
      </c>
      <c r="D42" s="3" cm="1">
        <f t="array" ref="D42">_xlfn.LET(
_xlpm.m,MONTH(C42),
_xlpm.d,DAY(C42),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ROUNDUP(D28*(1+_xlpm.r),0)
)</f>
        <v>3274</v>
      </c>
      <c r="J42" s="1"/>
    </row>
    <row r="43" spans="1:10">
      <c r="A43">
        <v>42</v>
      </c>
      <c r="B43" s="3" t="str">
        <f t="shared" si="0"/>
        <v>SKU PROD E</v>
      </c>
      <c r="C43" s="4">
        <f t="shared" si="1"/>
        <v>46109</v>
      </c>
      <c r="D43" s="3" cm="1">
        <f t="array" ref="D43">_xlfn.LET(
_xlpm.m,MONTH(C43),
_xlpm.d,DAY(C43),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ROUNDUP(D29*(1+_xlpm.r),0)
)</f>
        <v>2183</v>
      </c>
      <c r="J43" s="1"/>
    </row>
    <row r="44" spans="1:10">
      <c r="A44">
        <v>43</v>
      </c>
      <c r="B44" s="3" t="str">
        <f t="shared" si="0"/>
        <v>SKU PROD A</v>
      </c>
      <c r="C44" s="4">
        <f t="shared" si="1"/>
        <v>46115</v>
      </c>
      <c r="D44" s="3" cm="1">
        <f t="array" ref="D44">_xlfn.LET(
_xlpm.m,MONTH(C44),
_xlpm.d,DAY(C44),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ROUNDUP(D30*(1+_xlpm.r),0)
)</f>
        <v>1055</v>
      </c>
      <c r="J44" s="1"/>
    </row>
    <row r="45" spans="1:10">
      <c r="A45">
        <v>44</v>
      </c>
      <c r="B45" s="3" t="str">
        <f t="shared" si="0"/>
        <v>SKU PROD B</v>
      </c>
      <c r="C45" s="4">
        <f t="shared" si="1"/>
        <v>46115</v>
      </c>
      <c r="D45" s="3" cm="1">
        <f t="array" ref="D45">_xlfn.LET(
_xlpm.m,MONTH(C45),
_xlpm.d,DAY(C45),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ROUNDUP(D31*(1+_xlpm.r),0)
)</f>
        <v>6329</v>
      </c>
      <c r="J45" s="1"/>
    </row>
    <row r="46" spans="1:10">
      <c r="A46">
        <v>45</v>
      </c>
      <c r="B46" s="3" t="str">
        <f t="shared" si="0"/>
        <v>SKU PROD A</v>
      </c>
      <c r="C46" s="4">
        <f t="shared" si="1"/>
        <v>46116</v>
      </c>
      <c r="D46" s="3" cm="1">
        <f t="array" ref="D46">_xlfn.LET(
_xlpm.m,MONTH(C46),
_xlpm.d,DAY(C46),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ROUNDUP(D32*(1+_xlpm.r),0)
)</f>
        <v>423</v>
      </c>
      <c r="J46" s="1"/>
    </row>
    <row r="47" spans="1:10">
      <c r="A47">
        <v>46</v>
      </c>
      <c r="B47" s="3" t="str">
        <f t="shared" si="0"/>
        <v>SKU PROD C</v>
      </c>
      <c r="C47" s="4">
        <f t="shared" si="1"/>
        <v>46117</v>
      </c>
      <c r="D47" s="3" cm="1">
        <f t="array" ref="D47">_xlfn.LET(
_xlpm.m,MONTH(C47),
_xlpm.d,DAY(C47),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ROUNDUP(D33*(1+_xlpm.r),0)
)</f>
        <v>951</v>
      </c>
      <c r="J47" s="1"/>
    </row>
    <row r="48" spans="1:10">
      <c r="A48">
        <v>47</v>
      </c>
      <c r="B48" s="3" t="str">
        <f t="shared" si="0"/>
        <v>SKU PROD D</v>
      </c>
      <c r="C48" s="4">
        <f t="shared" si="1"/>
        <v>46118</v>
      </c>
      <c r="D48" s="3" cm="1">
        <f t="array" ref="D48">_xlfn.LET(
_xlpm.m,MONTH(C48),
_xlpm.d,DAY(C48),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ROUNDUP(D34*(1+_xlpm.r),0)
)</f>
        <v>634</v>
      </c>
      <c r="J48" s="1"/>
    </row>
    <row r="49" spans="1:10">
      <c r="A49">
        <v>48</v>
      </c>
      <c r="B49" s="3" t="str">
        <f t="shared" si="0"/>
        <v>SKU PROD A</v>
      </c>
      <c r="C49" s="4">
        <f t="shared" si="1"/>
        <v>46119</v>
      </c>
      <c r="D49" s="3" cm="1">
        <f t="array" ref="D49">_xlfn.LET(
_xlpm.m,MONTH(C49),
_xlpm.d,DAY(C49),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ROUNDUP(D35*(1+_xlpm.r),0)
)</f>
        <v>1055</v>
      </c>
      <c r="J49" s="1"/>
    </row>
    <row r="50" spans="1:10">
      <c r="A50">
        <v>49</v>
      </c>
      <c r="B50" s="3" t="str">
        <f t="shared" si="0"/>
        <v>SKU PROD C</v>
      </c>
      <c r="C50" s="4">
        <f t="shared" si="1"/>
        <v>46121</v>
      </c>
      <c r="D50" s="3" cm="1">
        <f t="array" ref="D50">_xlfn.LET(
_xlpm.m,MONTH(C50),
_xlpm.d,DAY(C50),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ROUNDUP(D36*(1+_xlpm.r),0)
)</f>
        <v>528</v>
      </c>
      <c r="J50" s="1"/>
    </row>
    <row r="51" spans="1:10">
      <c r="A51">
        <v>50</v>
      </c>
      <c r="B51" s="3" t="str">
        <f t="shared" si="0"/>
        <v>SKU PROD E</v>
      </c>
      <c r="C51" s="4">
        <f t="shared" si="1"/>
        <v>46124</v>
      </c>
      <c r="D51" s="3" cm="1">
        <f t="array" ref="D51">_xlfn.LET(
_xlpm.m,MONTH(C51),
_xlpm.d,DAY(C51),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ROUNDUP(D37*(1+_xlpm.r),0)
)</f>
        <v>423</v>
      </c>
      <c r="J51" s="1"/>
    </row>
    <row r="52" spans="1:10">
      <c r="A52">
        <v>51</v>
      </c>
      <c r="B52" s="3" t="str">
        <f t="shared" si="0"/>
        <v>SKU PROD B</v>
      </c>
      <c r="C52" s="4">
        <f t="shared" si="1"/>
        <v>46125</v>
      </c>
      <c r="D52" s="3" cm="1">
        <f t="array" ref="D52">_xlfn.LET(
_xlpm.m,MONTH(C52),
_xlpm.d,DAY(C52),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ROUNDUP(D38*(1+_xlpm.r),0)
)</f>
        <v>634</v>
      </c>
      <c r="J52" s="1"/>
    </row>
    <row r="53" spans="1:10">
      <c r="A53">
        <v>52</v>
      </c>
      <c r="B53" s="3" t="str">
        <f t="shared" si="0"/>
        <v>SKU PROD D</v>
      </c>
      <c r="C53" s="4">
        <f t="shared" si="1"/>
        <v>46129</v>
      </c>
      <c r="D53" s="3" cm="1">
        <f t="array" ref="D53">_xlfn.LET(
_xlpm.m,MONTH(C53),
_xlpm.d,DAY(C53),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ROUNDUP(D39*(1+_xlpm.r),0)
)</f>
        <v>902</v>
      </c>
      <c r="J53" s="1"/>
    </row>
    <row r="54" spans="1:10">
      <c r="A54">
        <v>53</v>
      </c>
      <c r="B54" s="3" t="str">
        <f t="shared" si="0"/>
        <v>SKU PROD C</v>
      </c>
      <c r="C54" s="4">
        <f t="shared" si="1"/>
        <v>46132</v>
      </c>
      <c r="D54" s="3" cm="1">
        <f t="array" ref="D54">_xlfn.LET(
_xlpm.m,MONTH(C54),
_xlpm.d,DAY(C54),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ROUNDUP(D40*(1+_xlpm.r),0)
)</f>
        <v>830</v>
      </c>
      <c r="J54" s="1"/>
    </row>
    <row r="55" spans="1:10">
      <c r="A55">
        <v>54</v>
      </c>
      <c r="B55" s="3" t="str">
        <f t="shared" si="0"/>
        <v>SKU PROD A</v>
      </c>
      <c r="C55" s="4">
        <f t="shared" si="1"/>
        <v>46136</v>
      </c>
      <c r="D55" s="3" cm="1">
        <f t="array" ref="D55">_xlfn.LET(
_xlpm.m,MONTH(C55),
_xlpm.d,DAY(C55),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ROUNDUP(D41*(1+_xlpm.r),0)
)</f>
        <v>1038</v>
      </c>
      <c r="J55" s="1"/>
    </row>
    <row r="56" spans="1:10">
      <c r="A56">
        <v>55</v>
      </c>
      <c r="B56" s="3" t="str">
        <f t="shared" si="0"/>
        <v>SKU PROD D</v>
      </c>
      <c r="C56" s="4">
        <f t="shared" si="1"/>
        <v>46140</v>
      </c>
      <c r="D56" s="3" cm="1">
        <f t="array" ref="D56">_xlfn.LET(
_xlpm.m,MONTH(C56),
_xlpm.d,DAY(C56),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ROUNDUP(D42*(1+_xlpm.r),0)
)</f>
        <v>3111</v>
      </c>
      <c r="J56" s="1"/>
    </row>
    <row r="57" spans="1:10">
      <c r="A57">
        <v>56</v>
      </c>
      <c r="B57" s="3" t="str">
        <f t="shared" si="0"/>
        <v>SKU PROD E</v>
      </c>
      <c r="C57" s="4">
        <f t="shared" si="1"/>
        <v>46140</v>
      </c>
      <c r="D57" s="3" cm="1">
        <f t="array" ref="D57">_xlfn.LET(
_xlpm.m,MONTH(C57),
_xlpm.d,DAY(C57),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ROUNDUP(D43*(1+_xlpm.r),0)
)</f>
        <v>2074</v>
      </c>
      <c r="J57" s="1"/>
    </row>
    <row r="58" spans="1:10">
      <c r="A58">
        <v>57</v>
      </c>
      <c r="B58" s="3" t="str">
        <f t="shared" si="0"/>
        <v>SKU PROD A</v>
      </c>
      <c r="C58" s="4">
        <f t="shared" si="1"/>
        <v>46145</v>
      </c>
      <c r="D58" s="3" cm="1">
        <f t="array" ref="D58">_xlfn.LET(
_xlpm.m,MONTH(C58),
_xlpm.d,DAY(C58),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ROUNDUP(D44*(1+_xlpm.r),0)
)</f>
        <v>1003</v>
      </c>
      <c r="J58" s="1"/>
    </row>
    <row r="59" spans="1:10">
      <c r="A59">
        <v>58</v>
      </c>
      <c r="B59" s="3" t="str">
        <f t="shared" si="0"/>
        <v>SKU PROD B</v>
      </c>
      <c r="C59" s="4">
        <f t="shared" si="1"/>
        <v>46145</v>
      </c>
      <c r="D59" s="3" cm="1">
        <f t="array" ref="D59">_xlfn.LET(
_xlpm.m,MONTH(C59),
_xlpm.d,DAY(C59),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ROUNDUP(D45*(1+_xlpm.r),0)
)</f>
        <v>6013</v>
      </c>
      <c r="J59" s="1"/>
    </row>
    <row r="60" spans="1:10">
      <c r="A60">
        <v>59</v>
      </c>
      <c r="B60" s="3" t="str">
        <f t="shared" si="0"/>
        <v>SKU PROD A</v>
      </c>
      <c r="C60" s="4">
        <f t="shared" si="1"/>
        <v>46146</v>
      </c>
      <c r="D60" s="3" cm="1">
        <f t="array" ref="D60">_xlfn.LET(
_xlpm.m,MONTH(C60),
_xlpm.d,DAY(C60),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ROUNDUP(D46*(1+_xlpm.r),0)
)</f>
        <v>402</v>
      </c>
      <c r="J60" s="1"/>
    </row>
    <row r="61" spans="1:10">
      <c r="A61">
        <v>60</v>
      </c>
      <c r="B61" s="3" t="str">
        <f t="shared" si="0"/>
        <v>SKU PROD C</v>
      </c>
      <c r="C61" s="4">
        <f t="shared" si="1"/>
        <v>46147</v>
      </c>
      <c r="D61" s="3" cm="1">
        <f t="array" ref="D61">_xlfn.LET(
_xlpm.m,MONTH(C61),
_xlpm.d,DAY(C61),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ROUNDUP(D47*(1+_xlpm.r),0)
)</f>
        <v>904</v>
      </c>
      <c r="J61" s="1"/>
    </row>
    <row r="62" spans="1:10">
      <c r="A62">
        <v>61</v>
      </c>
      <c r="B62" s="3" t="str">
        <f t="shared" si="0"/>
        <v>SKU PROD D</v>
      </c>
      <c r="C62" s="4">
        <f t="shared" si="1"/>
        <v>46148</v>
      </c>
      <c r="D62" s="3" cm="1">
        <f t="array" ref="D62">_xlfn.LET(
_xlpm.m,MONTH(C62),
_xlpm.d,DAY(C62),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ROUNDUP(D48*(1+_xlpm.r),0)
)</f>
        <v>603</v>
      </c>
      <c r="J62" s="1"/>
    </row>
    <row r="63" spans="1:10">
      <c r="A63">
        <v>62</v>
      </c>
      <c r="B63" s="3" t="str">
        <f t="shared" si="0"/>
        <v>SKU PROD A</v>
      </c>
      <c r="C63" s="4">
        <f t="shared" si="1"/>
        <v>46149</v>
      </c>
      <c r="D63" s="3" cm="1">
        <f t="array" ref="D63">_xlfn.LET(
_xlpm.m,MONTH(C63),
_xlpm.d,DAY(C63),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ROUNDUP(D49*(1+_xlpm.r),0)
)</f>
        <v>1003</v>
      </c>
      <c r="J63" s="1"/>
    </row>
    <row r="64" spans="1:10">
      <c r="A64">
        <v>63</v>
      </c>
      <c r="B64" s="3" t="str">
        <f t="shared" si="0"/>
        <v>SKU PROD C</v>
      </c>
      <c r="C64" s="4">
        <f t="shared" si="1"/>
        <v>46151</v>
      </c>
      <c r="D64" s="3" cm="1">
        <f t="array" ref="D64">_xlfn.LET(
_xlpm.m,MONTH(C64),
_xlpm.d,DAY(C64),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ROUNDUP(D50*(1+_xlpm.r),0)
)</f>
        <v>502</v>
      </c>
      <c r="J64" s="1"/>
    </row>
    <row r="65" spans="1:10">
      <c r="A65">
        <v>64</v>
      </c>
      <c r="B65" s="3" t="str">
        <f t="shared" si="0"/>
        <v>SKU PROD E</v>
      </c>
      <c r="C65" s="4">
        <f t="shared" si="1"/>
        <v>46154</v>
      </c>
      <c r="D65" s="3" cm="1">
        <f t="array" ref="D65">_xlfn.LET(
_xlpm.m,MONTH(C65),
_xlpm.d,DAY(C65),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ROUNDUP(D51*(1+_xlpm.r),0)
)</f>
        <v>402</v>
      </c>
      <c r="J65" s="1"/>
    </row>
    <row r="66" spans="1:10">
      <c r="A66">
        <v>65</v>
      </c>
      <c r="B66" s="3" t="str">
        <f t="shared" si="0"/>
        <v>SKU PROD B</v>
      </c>
      <c r="C66" s="4">
        <f t="shared" si="1"/>
        <v>46155</v>
      </c>
      <c r="D66" s="3" cm="1">
        <f t="array" ref="D66">_xlfn.LET(
_xlpm.m,MONTH(C66),
_xlpm.d,DAY(C66),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ROUNDUP(D52*(1+_xlpm.r),0)
)</f>
        <v>603</v>
      </c>
      <c r="J66" s="1"/>
    </row>
    <row r="67" spans="1:10">
      <c r="A67">
        <v>66</v>
      </c>
      <c r="B67" s="3" t="str">
        <f t="shared" si="0"/>
        <v>SKU PROD D</v>
      </c>
      <c r="C67" s="4">
        <f t="shared" si="1"/>
        <v>46159</v>
      </c>
      <c r="D67" s="3" cm="1">
        <f t="array" ref="D67">_xlfn.LET(
_xlpm.m,MONTH(C67),
_xlpm.d,DAY(C67),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ROUNDUP(D53*(1+_xlpm.r),0)
)</f>
        <v>857</v>
      </c>
      <c r="J67" s="1"/>
    </row>
    <row r="68" spans="1:10">
      <c r="A68">
        <v>67</v>
      </c>
      <c r="B68" s="3" t="str">
        <f t="shared" si="0"/>
        <v>SKU PROD C</v>
      </c>
      <c r="C68" s="4">
        <f t="shared" si="1"/>
        <v>46162</v>
      </c>
      <c r="D68" s="3" cm="1">
        <f t="array" ref="D68">_xlfn.LET(
_xlpm.m,MONTH(C68),
_xlpm.d,DAY(C68),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ROUNDUP(D54*(1+_xlpm.r),0)
)</f>
        <v>789</v>
      </c>
      <c r="J68" s="1"/>
    </row>
    <row r="69" spans="1:10">
      <c r="A69">
        <v>68</v>
      </c>
      <c r="B69" s="3" t="str">
        <f t="shared" si="0"/>
        <v>SKU PROD A</v>
      </c>
      <c r="C69" s="4">
        <f t="shared" si="1"/>
        <v>46166</v>
      </c>
      <c r="D69" s="3" cm="1">
        <f t="array" ref="D69">_xlfn.LET(
_xlpm.m,MONTH(C69),
_xlpm.d,DAY(C69),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ROUNDUP(D55*(1+_xlpm.r),0)
)</f>
        <v>1090</v>
      </c>
      <c r="J69" s="1"/>
    </row>
    <row r="70" spans="1:10">
      <c r="A70">
        <v>69</v>
      </c>
      <c r="B70" s="3" t="str">
        <f t="shared" si="0"/>
        <v>SKU PROD D</v>
      </c>
      <c r="C70" s="4">
        <f t="shared" si="1"/>
        <v>46170</v>
      </c>
      <c r="D70" s="3" cm="1">
        <f t="array" ref="D70">_xlfn.LET(
_xlpm.m,MONTH(C70),
_xlpm.d,DAY(C70),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ROUNDUP(D56*(1+_xlpm.r),0)
)</f>
        <v>3267</v>
      </c>
      <c r="J70" s="1"/>
    </row>
    <row r="71" spans="1:10">
      <c r="A71">
        <v>70</v>
      </c>
      <c r="B71" s="3" t="str">
        <f t="shared" si="0"/>
        <v>SKU PROD E</v>
      </c>
      <c r="C71" s="4">
        <f t="shared" si="1"/>
        <v>46170</v>
      </c>
      <c r="D71" s="3" cm="1">
        <f t="array" ref="D71">_xlfn.LET(
_xlpm.m,MONTH(C71),
_xlpm.d,DAY(C71),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ROUNDUP(D57*(1+_xlpm.r),0)
)</f>
        <v>2178</v>
      </c>
      <c r="J71" s="1"/>
    </row>
    <row r="72" spans="1:10">
      <c r="A72">
        <v>71</v>
      </c>
      <c r="B72" s="3" t="str">
        <f t="shared" si="0"/>
        <v>SKU PROD A</v>
      </c>
      <c r="C72" s="4">
        <f t="shared" si="1"/>
        <v>46176</v>
      </c>
      <c r="D72" s="3" cm="1">
        <f t="array" ref="D72">_xlfn.LET(
_xlpm.m,MONTH(C72),
_xlpm.d,DAY(C72),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ROUNDUP(D58*(1+_xlpm.r),0)
)</f>
        <v>953</v>
      </c>
      <c r="J72" s="1"/>
    </row>
    <row r="73" spans="1:10">
      <c r="A73">
        <v>72</v>
      </c>
      <c r="B73" s="3" t="str">
        <f t="shared" si="0"/>
        <v>SKU PROD B</v>
      </c>
      <c r="C73" s="4">
        <f t="shared" si="1"/>
        <v>46176</v>
      </c>
      <c r="D73" s="3" cm="1">
        <f t="array" ref="D73">_xlfn.LET(
_xlpm.m,MONTH(C73),
_xlpm.d,DAY(C73),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ROUNDUP(D59*(1+_xlpm.r),0)
)</f>
        <v>5713</v>
      </c>
      <c r="J73" s="1"/>
    </row>
    <row r="74" spans="1:10">
      <c r="A74">
        <v>73</v>
      </c>
      <c r="B74" s="3" t="str">
        <f t="shared" si="0"/>
        <v>SKU PROD A</v>
      </c>
      <c r="C74" s="4">
        <f t="shared" si="1"/>
        <v>46177</v>
      </c>
      <c r="D74" s="3" cm="1">
        <f t="array" ref="D74">_xlfn.LET(
_xlpm.m,MONTH(C74),
_xlpm.d,DAY(C74),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ROUNDUP(D60*(1+_xlpm.r),0)
)</f>
        <v>382</v>
      </c>
      <c r="J74" s="1"/>
    </row>
    <row r="75" spans="1:10">
      <c r="A75">
        <v>74</v>
      </c>
      <c r="B75" s="3" t="str">
        <f t="shared" si="0"/>
        <v>SKU PROD C</v>
      </c>
      <c r="C75" s="4">
        <f t="shared" si="1"/>
        <v>46178</v>
      </c>
      <c r="D75" s="3" cm="1">
        <f t="array" ref="D75">_xlfn.LET(
_xlpm.m,MONTH(C75),
_xlpm.d,DAY(C75),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ROUNDUP(D61*(1+_xlpm.r),0)
)</f>
        <v>859</v>
      </c>
      <c r="J75" s="1"/>
    </row>
    <row r="76" spans="1:10">
      <c r="A76">
        <v>75</v>
      </c>
      <c r="B76" s="3" t="str">
        <f t="shared" si="0"/>
        <v>SKU PROD D</v>
      </c>
      <c r="C76" s="4">
        <f t="shared" si="1"/>
        <v>46179</v>
      </c>
      <c r="D76" s="3" cm="1">
        <f t="array" ref="D76">_xlfn.LET(
_xlpm.m,MONTH(C76),
_xlpm.d,DAY(C76),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ROUNDUP(D62*(1+_xlpm.r),0)
)</f>
        <v>573</v>
      </c>
      <c r="J76" s="1"/>
    </row>
    <row r="77" spans="1:10">
      <c r="A77">
        <v>76</v>
      </c>
      <c r="B77" s="3" t="str">
        <f t="shared" si="0"/>
        <v>SKU PROD A</v>
      </c>
      <c r="C77" s="4">
        <f t="shared" si="1"/>
        <v>46180</v>
      </c>
      <c r="D77" s="3" cm="1">
        <f t="array" ref="D77">_xlfn.LET(
_xlpm.m,MONTH(C77),
_xlpm.d,DAY(C77),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ROUNDUP(D63*(1+_xlpm.r),0)
)</f>
        <v>953</v>
      </c>
      <c r="J77" s="1"/>
    </row>
    <row r="78" spans="1:10">
      <c r="A78">
        <v>77</v>
      </c>
      <c r="B78" s="3" t="str">
        <f t="shared" si="0"/>
        <v>SKU PROD C</v>
      </c>
      <c r="C78" s="4">
        <f t="shared" si="1"/>
        <v>46182</v>
      </c>
      <c r="D78" s="3" cm="1">
        <f t="array" ref="D78">_xlfn.LET(
_xlpm.m,MONTH(C78),
_xlpm.d,DAY(C78),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ROUNDUP(D64*(1+_xlpm.r),0)
)</f>
        <v>477</v>
      </c>
      <c r="J78" s="1"/>
    </row>
    <row r="79" spans="1:10">
      <c r="A79">
        <v>78</v>
      </c>
      <c r="B79" s="3" t="str">
        <f t="shared" si="0"/>
        <v>SKU PROD E</v>
      </c>
      <c r="C79" s="4">
        <f t="shared" si="1"/>
        <v>46185</v>
      </c>
      <c r="D79" s="3" cm="1">
        <f t="array" ref="D79">_xlfn.LET(
_xlpm.m,MONTH(C79),
_xlpm.d,DAY(C79),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ROUNDUP(D65*(1+_xlpm.r),0)
)</f>
        <v>382</v>
      </c>
      <c r="J79" s="1"/>
    </row>
    <row r="80" spans="1:10">
      <c r="A80">
        <v>79</v>
      </c>
      <c r="B80" s="3" t="str">
        <f t="shared" si="0"/>
        <v>SKU PROD B</v>
      </c>
      <c r="C80" s="4">
        <f t="shared" si="1"/>
        <v>46186</v>
      </c>
      <c r="D80" s="3" cm="1">
        <f t="array" ref="D80">_xlfn.LET(
_xlpm.m,MONTH(C80),
_xlpm.d,DAY(C80),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ROUNDUP(D66*(1+_xlpm.r),0)
)</f>
        <v>573</v>
      </c>
      <c r="J80" s="1"/>
    </row>
    <row r="81" spans="1:10">
      <c r="A81">
        <v>80</v>
      </c>
      <c r="B81" s="3" t="str">
        <f t="shared" ref="B81:B144" si="2">B67</f>
        <v>SKU PROD D</v>
      </c>
      <c r="C81" s="4">
        <f t="shared" ref="C81:C144" si="3">EDATE(C67,1)</f>
        <v>46190</v>
      </c>
      <c r="D81" s="3" cm="1">
        <f t="array" ref="D81">_xlfn.LET(
_xlpm.m,MONTH(C81),
_xlpm.d,DAY(C81),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ROUNDUP(D67*(1+_xlpm.r),0)
)</f>
        <v>815</v>
      </c>
      <c r="J81" s="1"/>
    </row>
    <row r="82" spans="1:10">
      <c r="A82">
        <v>81</v>
      </c>
      <c r="B82" s="3" t="str">
        <f t="shared" si="2"/>
        <v>SKU PROD C</v>
      </c>
      <c r="C82" s="4">
        <f t="shared" si="3"/>
        <v>46193</v>
      </c>
      <c r="D82" s="3" cm="1">
        <f t="array" ref="D82">_xlfn.LET(
_xlpm.m,MONTH(C82),
_xlpm.d,DAY(C82),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ROUNDUP(D68*(1+_xlpm.r),0)
)</f>
        <v>750</v>
      </c>
      <c r="J82" s="1"/>
    </row>
    <row r="83" spans="1:10">
      <c r="A83">
        <v>82</v>
      </c>
      <c r="B83" s="3" t="str">
        <f t="shared" si="2"/>
        <v>SKU PROD A</v>
      </c>
      <c r="C83" s="4">
        <f t="shared" si="3"/>
        <v>46197</v>
      </c>
      <c r="D83" s="3" cm="1">
        <f t="array" ref="D83">_xlfn.LET(
_xlpm.m,MONTH(C83),
_xlpm.d,DAY(C83),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ROUNDUP(D69*(1+_xlpm.r),0)
)</f>
        <v>1036</v>
      </c>
      <c r="J83" s="1"/>
    </row>
    <row r="84" spans="1:10">
      <c r="A84">
        <v>83</v>
      </c>
      <c r="B84" s="3" t="str">
        <f t="shared" si="2"/>
        <v>SKU PROD D</v>
      </c>
      <c r="C84" s="4">
        <f t="shared" si="3"/>
        <v>46201</v>
      </c>
      <c r="D84" s="3" cm="1">
        <f t="array" ref="D84">_xlfn.LET(
_xlpm.m,MONTH(C84),
_xlpm.d,DAY(C84),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ROUNDUP(D70*(1+_xlpm.r),0)
)</f>
        <v>3104</v>
      </c>
      <c r="J84" s="1"/>
    </row>
    <row r="85" spans="1:10">
      <c r="A85">
        <v>84</v>
      </c>
      <c r="B85" s="3" t="str">
        <f t="shared" si="2"/>
        <v>SKU PROD E</v>
      </c>
      <c r="C85" s="4">
        <f t="shared" si="3"/>
        <v>46201</v>
      </c>
      <c r="D85" s="3" cm="1">
        <f t="array" ref="D85">_xlfn.LET(
_xlpm.m,MONTH(C85),
_xlpm.d,DAY(C85),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ROUNDUP(D71*(1+_xlpm.r),0)
)</f>
        <v>2070</v>
      </c>
      <c r="J85" s="1"/>
    </row>
    <row r="86" spans="1:10">
      <c r="A86">
        <v>85</v>
      </c>
      <c r="B86" s="3" t="str">
        <f t="shared" si="2"/>
        <v>SKU PROD A</v>
      </c>
      <c r="C86" s="4">
        <f t="shared" si="3"/>
        <v>46206</v>
      </c>
      <c r="D86" s="3" cm="1">
        <f t="array" ref="D86">_xlfn.LET(
_xlpm.m,MONTH(C86),
_xlpm.d,DAY(C86),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ROUNDUP(D72*(1+_xlpm.r),0)
)</f>
        <v>1096</v>
      </c>
      <c r="J86" s="1"/>
    </row>
    <row r="87" spans="1:10">
      <c r="A87">
        <v>86</v>
      </c>
      <c r="B87" s="3" t="str">
        <f t="shared" si="2"/>
        <v>SKU PROD B</v>
      </c>
      <c r="C87" s="4">
        <f t="shared" si="3"/>
        <v>46206</v>
      </c>
      <c r="D87" s="3" cm="1">
        <f t="array" ref="D87">_xlfn.LET(
_xlpm.m,MONTH(C87),
_xlpm.d,DAY(C87),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ROUNDUP(D73*(1+_xlpm.r),0)
)</f>
        <v>6570</v>
      </c>
      <c r="J87" s="1"/>
    </row>
    <row r="88" spans="1:10">
      <c r="A88">
        <v>87</v>
      </c>
      <c r="B88" s="3" t="str">
        <f t="shared" si="2"/>
        <v>SKU PROD A</v>
      </c>
      <c r="C88" s="4">
        <f t="shared" si="3"/>
        <v>46207</v>
      </c>
      <c r="D88" s="3" cm="1">
        <f t="array" ref="D88">_xlfn.LET(
_xlpm.m,MONTH(C88),
_xlpm.d,DAY(C88),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ROUNDUP(D74*(1+_xlpm.r),0)
)</f>
        <v>440</v>
      </c>
      <c r="J88" s="1"/>
    </row>
    <row r="89" spans="1:10">
      <c r="A89">
        <v>88</v>
      </c>
      <c r="B89" s="3" t="str">
        <f t="shared" si="2"/>
        <v>SKU PROD C</v>
      </c>
      <c r="C89" s="4">
        <f t="shared" si="3"/>
        <v>46208</v>
      </c>
      <c r="D89" s="3" cm="1">
        <f t="array" ref="D89">_xlfn.LET(
_xlpm.m,MONTH(C89),
_xlpm.d,DAY(C89),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ROUNDUP(D75*(1+_xlpm.r),0)
)</f>
        <v>988</v>
      </c>
      <c r="J89" s="1"/>
    </row>
    <row r="90" spans="1:10">
      <c r="A90">
        <v>89</v>
      </c>
      <c r="B90" s="3" t="str">
        <f t="shared" si="2"/>
        <v>SKU PROD D</v>
      </c>
      <c r="C90" s="4">
        <f t="shared" si="3"/>
        <v>46209</v>
      </c>
      <c r="D90" s="3" cm="1">
        <f t="array" ref="D90">_xlfn.LET(
_xlpm.m,MONTH(C90),
_xlpm.d,DAY(C90),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ROUNDUP(D76*(1+_xlpm.r),0)
)</f>
        <v>659</v>
      </c>
      <c r="J90" s="1"/>
    </row>
    <row r="91" spans="1:10">
      <c r="A91">
        <v>90</v>
      </c>
      <c r="B91" s="3" t="str">
        <f t="shared" si="2"/>
        <v>SKU PROD A</v>
      </c>
      <c r="C91" s="4">
        <f t="shared" si="3"/>
        <v>46210</v>
      </c>
      <c r="D91" s="3" cm="1">
        <f t="array" ref="D91">_xlfn.LET(
_xlpm.m,MONTH(C91),
_xlpm.d,DAY(C91),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ROUNDUP(D77*(1+_xlpm.r),0)
)</f>
        <v>1096</v>
      </c>
      <c r="J91" s="1"/>
    </row>
    <row r="92" spans="1:10">
      <c r="A92">
        <v>91</v>
      </c>
      <c r="B92" s="3" t="str">
        <f t="shared" si="2"/>
        <v>SKU PROD C</v>
      </c>
      <c r="C92" s="4">
        <f t="shared" si="3"/>
        <v>46212</v>
      </c>
      <c r="D92" s="3" cm="1">
        <f t="array" ref="D92">_xlfn.LET(
_xlpm.m,MONTH(C92),
_xlpm.d,DAY(C92),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ROUNDUP(D78*(1+_xlpm.r),0)
)</f>
        <v>549</v>
      </c>
      <c r="J92" s="1"/>
    </row>
    <row r="93" spans="1:10">
      <c r="A93">
        <v>92</v>
      </c>
      <c r="B93" s="3" t="str">
        <f t="shared" si="2"/>
        <v>SKU PROD E</v>
      </c>
      <c r="C93" s="4">
        <f t="shared" si="3"/>
        <v>46215</v>
      </c>
      <c r="D93" s="3" cm="1">
        <f t="array" ref="D93">_xlfn.LET(
_xlpm.m,MONTH(C93),
_xlpm.d,DAY(C93),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ROUNDUP(D79*(1+_xlpm.r),0)
)</f>
        <v>363</v>
      </c>
      <c r="J93" s="1"/>
    </row>
    <row r="94" spans="1:10">
      <c r="A94">
        <v>93</v>
      </c>
      <c r="B94" s="3" t="str">
        <f t="shared" si="2"/>
        <v>SKU PROD B</v>
      </c>
      <c r="C94" s="4">
        <f t="shared" si="3"/>
        <v>46216</v>
      </c>
      <c r="D94" s="3" cm="1">
        <f t="array" ref="D94">_xlfn.LET(
_xlpm.m,MONTH(C94),
_xlpm.d,DAY(C94),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ROUNDUP(D80*(1+_xlpm.r),0)
)</f>
        <v>545</v>
      </c>
      <c r="J94" s="1"/>
    </row>
    <row r="95" spans="1:10">
      <c r="A95">
        <v>94</v>
      </c>
      <c r="B95" s="3" t="str">
        <f t="shared" si="2"/>
        <v>SKU PROD D</v>
      </c>
      <c r="C95" s="4">
        <f t="shared" si="3"/>
        <v>46220</v>
      </c>
      <c r="D95" s="3" cm="1">
        <f t="array" ref="D95">_xlfn.LET(
_xlpm.m,MONTH(C95),
_xlpm.d,DAY(C95),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ROUNDUP(D81*(1+_xlpm.r),0)
)</f>
        <v>775</v>
      </c>
      <c r="J95" s="1"/>
    </row>
    <row r="96" spans="1:10">
      <c r="A96">
        <v>95</v>
      </c>
      <c r="B96" s="3" t="str">
        <f t="shared" si="2"/>
        <v>SKU PROD C</v>
      </c>
      <c r="C96" s="4">
        <f t="shared" si="3"/>
        <v>46223</v>
      </c>
      <c r="D96" s="3" cm="1">
        <f t="array" ref="D96">_xlfn.LET(
_xlpm.m,MONTH(C96),
_xlpm.d,DAY(C96),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ROUNDUP(D82*(1+_xlpm.r),0)
)</f>
        <v>713</v>
      </c>
      <c r="J96" s="1"/>
    </row>
    <row r="97" spans="1:10">
      <c r="A97">
        <v>96</v>
      </c>
      <c r="B97" s="3" t="str">
        <f t="shared" si="2"/>
        <v>SKU PROD A</v>
      </c>
      <c r="C97" s="4">
        <f t="shared" si="3"/>
        <v>46227</v>
      </c>
      <c r="D97" s="3" cm="1">
        <f t="array" ref="D97">_xlfn.LET(
_xlpm.m,MONTH(C97),
_xlpm.d,DAY(C97),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ROUNDUP(D83*(1+_xlpm.r),0)
)</f>
        <v>985</v>
      </c>
      <c r="J97" s="1"/>
    </row>
    <row r="98" spans="1:10">
      <c r="A98">
        <v>97</v>
      </c>
      <c r="B98" s="3" t="str">
        <f t="shared" si="2"/>
        <v>SKU PROD D</v>
      </c>
      <c r="C98" s="4">
        <f t="shared" si="3"/>
        <v>46231</v>
      </c>
      <c r="D98" s="3" cm="1">
        <f t="array" ref="D98">_xlfn.LET(
_xlpm.m,MONTH(C98),
_xlpm.d,DAY(C98),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ROUNDUP(D84*(1+_xlpm.r),0)
)</f>
        <v>2949</v>
      </c>
      <c r="J98" s="1"/>
    </row>
    <row r="99" spans="1:10">
      <c r="A99">
        <v>98</v>
      </c>
      <c r="B99" s="3" t="str">
        <f t="shared" si="2"/>
        <v>SKU PROD E</v>
      </c>
      <c r="C99" s="4">
        <f t="shared" si="3"/>
        <v>46231</v>
      </c>
      <c r="D99" s="3" cm="1">
        <f t="array" ref="D99">_xlfn.LET(
_xlpm.m,MONTH(C99),
_xlpm.d,DAY(C99),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ROUNDUP(D85*(1+_xlpm.r),0)
)</f>
        <v>1967</v>
      </c>
      <c r="J99" s="1"/>
    </row>
    <row r="100" spans="1:10">
      <c r="A100">
        <v>99</v>
      </c>
      <c r="B100" s="3" t="str">
        <f t="shared" si="2"/>
        <v>SKU PROD A</v>
      </c>
      <c r="C100" s="4">
        <f t="shared" si="3"/>
        <v>46237</v>
      </c>
      <c r="D100" s="3" cm="1">
        <f t="array" ref="D100">_xlfn.LET(
_xlpm.m,MONTH(C100),
_xlpm.d,DAY(C100),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ROUNDUP(D86*(1+_xlpm.r),0)
)</f>
        <v>932</v>
      </c>
      <c r="J100" s="1"/>
    </row>
    <row r="101" spans="1:10">
      <c r="A101">
        <v>100</v>
      </c>
      <c r="B101" s="3" t="str">
        <f t="shared" si="2"/>
        <v>SKU PROD B</v>
      </c>
      <c r="C101" s="4">
        <f t="shared" si="3"/>
        <v>46237</v>
      </c>
      <c r="D101" s="3" cm="1">
        <f t="array" ref="D101">_xlfn.LET(
_xlpm.m,MONTH(C101),
_xlpm.d,DAY(C101),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ROUNDUP(D87*(1+_xlpm.r),0)
)</f>
        <v>5585</v>
      </c>
      <c r="J101" s="1"/>
    </row>
    <row r="102" spans="1:10">
      <c r="A102">
        <v>101</v>
      </c>
      <c r="B102" s="3" t="str">
        <f t="shared" si="2"/>
        <v>SKU PROD A</v>
      </c>
      <c r="C102" s="4">
        <f t="shared" si="3"/>
        <v>46238</v>
      </c>
      <c r="D102" s="3" cm="1">
        <f t="array" ref="D102">_xlfn.LET(
_xlpm.m,MONTH(C102),
_xlpm.d,DAY(C102),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ROUNDUP(D88*(1+_xlpm.r),0)
)</f>
        <v>374</v>
      </c>
      <c r="J102" s="1"/>
    </row>
    <row r="103" spans="1:10">
      <c r="A103">
        <v>102</v>
      </c>
      <c r="B103" s="3" t="str">
        <f t="shared" si="2"/>
        <v>SKU PROD C</v>
      </c>
      <c r="C103" s="4">
        <f t="shared" si="3"/>
        <v>46239</v>
      </c>
      <c r="D103" s="3" cm="1">
        <f t="array" ref="D103">_xlfn.LET(
_xlpm.m,MONTH(C103),
_xlpm.d,DAY(C103),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ROUNDUP(D89*(1+_xlpm.r),0)
)</f>
        <v>840</v>
      </c>
      <c r="J103" s="1"/>
    </row>
    <row r="104" spans="1:10">
      <c r="A104">
        <v>103</v>
      </c>
      <c r="B104" s="3" t="str">
        <f t="shared" si="2"/>
        <v>SKU PROD D</v>
      </c>
      <c r="C104" s="4">
        <f t="shared" si="3"/>
        <v>46240</v>
      </c>
      <c r="D104" s="3" cm="1">
        <f t="array" ref="D104">_xlfn.LET(
_xlpm.m,MONTH(C104),
_xlpm.d,DAY(C104),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ROUNDUP(D90*(1+_xlpm.r),0)
)</f>
        <v>561</v>
      </c>
      <c r="J104" s="1"/>
    </row>
    <row r="105" spans="1:10">
      <c r="A105">
        <v>104</v>
      </c>
      <c r="B105" s="3" t="str">
        <f t="shared" si="2"/>
        <v>SKU PROD A</v>
      </c>
      <c r="C105" s="4">
        <f t="shared" si="3"/>
        <v>46241</v>
      </c>
      <c r="D105" s="3" cm="1">
        <f t="array" ref="D105">_xlfn.LET(
_xlpm.m,MONTH(C105),
_xlpm.d,DAY(C105),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ROUNDUP(D91*(1+_xlpm.r),0)
)</f>
        <v>932</v>
      </c>
      <c r="J105" s="1"/>
    </row>
    <row r="106" spans="1:10">
      <c r="A106">
        <v>105</v>
      </c>
      <c r="B106" s="3" t="str">
        <f t="shared" si="2"/>
        <v>SKU PROD C</v>
      </c>
      <c r="C106" s="4">
        <f t="shared" si="3"/>
        <v>46243</v>
      </c>
      <c r="D106" s="3" cm="1">
        <f t="array" ref="D106">_xlfn.LET(
_xlpm.m,MONTH(C106),
_xlpm.d,DAY(C106),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ROUNDUP(D92*(1+_xlpm.r),0)
)</f>
        <v>467</v>
      </c>
      <c r="J106" s="1"/>
    </row>
    <row r="107" spans="1:10">
      <c r="A107">
        <v>106</v>
      </c>
      <c r="B107" s="3" t="str">
        <f t="shared" si="2"/>
        <v>SKU PROD E</v>
      </c>
      <c r="C107" s="4">
        <f t="shared" si="3"/>
        <v>46246</v>
      </c>
      <c r="D107" s="3" cm="1">
        <f t="array" ref="D107">_xlfn.LET(
_xlpm.m,MONTH(C107),
_xlpm.d,DAY(C107),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ROUNDUP(D93*(1+_xlpm.r),0)
)</f>
        <v>309</v>
      </c>
      <c r="J107" s="1"/>
    </row>
    <row r="108" spans="1:10">
      <c r="A108">
        <v>107</v>
      </c>
      <c r="B108" s="3" t="str">
        <f t="shared" si="2"/>
        <v>SKU PROD B</v>
      </c>
      <c r="C108" s="4">
        <f t="shared" si="3"/>
        <v>46247</v>
      </c>
      <c r="D108" s="3" cm="1">
        <f t="array" ref="D108">_xlfn.LET(
_xlpm.m,MONTH(C108),
_xlpm.d,DAY(C108),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ROUNDUP(D94*(1+_xlpm.r),0)
)</f>
        <v>464</v>
      </c>
      <c r="J108" s="1"/>
    </row>
    <row r="109" spans="1:10">
      <c r="A109">
        <v>108</v>
      </c>
      <c r="B109" s="3" t="str">
        <f t="shared" si="2"/>
        <v>SKU PROD D</v>
      </c>
      <c r="C109" s="4">
        <f t="shared" si="3"/>
        <v>46251</v>
      </c>
      <c r="D109" s="3" cm="1">
        <f t="array" ref="D109">_xlfn.LET(
_xlpm.m,MONTH(C109),
_xlpm.d,DAY(C109),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ROUNDUP(D95*(1+_xlpm.r),0)
)</f>
        <v>659</v>
      </c>
      <c r="J109" s="1"/>
    </row>
    <row r="110" spans="1:10">
      <c r="A110">
        <v>109</v>
      </c>
      <c r="B110" s="3" t="str">
        <f t="shared" si="2"/>
        <v>SKU PROD C</v>
      </c>
      <c r="C110" s="4">
        <f t="shared" si="3"/>
        <v>46254</v>
      </c>
      <c r="D110" s="3" cm="1">
        <f t="array" ref="D110">_xlfn.LET(
_xlpm.m,MONTH(C110),
_xlpm.d,DAY(C110),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ROUNDUP(D96*(1+_xlpm.r),0)
)</f>
        <v>607</v>
      </c>
      <c r="J110" s="1"/>
    </row>
    <row r="111" spans="1:10">
      <c r="A111">
        <v>110</v>
      </c>
      <c r="B111" s="3" t="str">
        <f t="shared" si="2"/>
        <v>SKU PROD A</v>
      </c>
      <c r="C111" s="4">
        <f t="shared" si="3"/>
        <v>46258</v>
      </c>
      <c r="D111" s="3" cm="1">
        <f t="array" ref="D111">_xlfn.LET(
_xlpm.m,MONTH(C111),
_xlpm.d,DAY(C111),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ROUNDUP(D97*(1+_xlpm.r),0)
)</f>
        <v>838</v>
      </c>
      <c r="J111" s="1"/>
    </row>
    <row r="112" spans="1:10">
      <c r="A112">
        <v>111</v>
      </c>
      <c r="B112" s="3" t="str">
        <f t="shared" si="2"/>
        <v>SKU PROD D</v>
      </c>
      <c r="C112" s="4">
        <f t="shared" si="3"/>
        <v>46262</v>
      </c>
      <c r="D112" s="3" cm="1">
        <f t="array" ref="D112">_xlfn.LET(
_xlpm.m,MONTH(C112),
_xlpm.d,DAY(C112),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ROUNDUP(D98*(1+_xlpm.r),0)
)</f>
        <v>3038</v>
      </c>
      <c r="J112" s="1"/>
    </row>
    <row r="113" spans="1:10">
      <c r="A113">
        <v>112</v>
      </c>
      <c r="B113" s="3" t="str">
        <f t="shared" si="2"/>
        <v>SKU PROD E</v>
      </c>
      <c r="C113" s="4">
        <f t="shared" si="3"/>
        <v>46262</v>
      </c>
      <c r="D113" s="3" cm="1">
        <f t="array" ref="D113">_xlfn.LET(
_xlpm.m,MONTH(C113),
_xlpm.d,DAY(C113),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ROUNDUP(D99*(1+_xlpm.r),0)
)</f>
        <v>2027</v>
      </c>
      <c r="J113" s="1"/>
    </row>
    <row r="114" spans="1:10">
      <c r="A114">
        <v>113</v>
      </c>
      <c r="B114" s="3" t="str">
        <f t="shared" si="2"/>
        <v>SKU PROD A</v>
      </c>
      <c r="C114" s="4">
        <f t="shared" si="3"/>
        <v>46268</v>
      </c>
      <c r="D114" s="3" cm="1">
        <f t="array" ref="D114">_xlfn.LET(
_xlpm.m,MONTH(C114),
_xlpm.d,DAY(C114),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ROUNDUP(D100*(1+_xlpm.r),0)
)</f>
        <v>793</v>
      </c>
      <c r="J114" s="1"/>
    </row>
    <row r="115" spans="1:10">
      <c r="A115">
        <v>114</v>
      </c>
      <c r="B115" s="3" t="str">
        <f t="shared" si="2"/>
        <v>SKU PROD B</v>
      </c>
      <c r="C115" s="4">
        <f t="shared" si="3"/>
        <v>46268</v>
      </c>
      <c r="D115" s="3" cm="1">
        <f t="array" ref="D115">_xlfn.LET(
_xlpm.m,MONTH(C115),
_xlpm.d,DAY(C115),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ROUNDUP(D101*(1+_xlpm.r),0)
)</f>
        <v>4748</v>
      </c>
      <c r="J115" s="1"/>
    </row>
    <row r="116" spans="1:10">
      <c r="A116">
        <v>115</v>
      </c>
      <c r="B116" s="3" t="str">
        <f t="shared" si="2"/>
        <v>SKU PROD A</v>
      </c>
      <c r="C116" s="4">
        <f t="shared" si="3"/>
        <v>46269</v>
      </c>
      <c r="D116" s="3" cm="1">
        <f t="array" ref="D116">_xlfn.LET(
_xlpm.m,MONTH(C116),
_xlpm.d,DAY(C116),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ROUNDUP(D102*(1+_xlpm.r),0)
)</f>
        <v>318</v>
      </c>
      <c r="J116" s="1"/>
    </row>
    <row r="117" spans="1:10">
      <c r="A117">
        <v>116</v>
      </c>
      <c r="B117" s="3" t="str">
        <f t="shared" si="2"/>
        <v>SKU PROD C</v>
      </c>
      <c r="C117" s="4">
        <f t="shared" si="3"/>
        <v>46270</v>
      </c>
      <c r="D117" s="3" cm="1">
        <f t="array" ref="D117">_xlfn.LET(
_xlpm.m,MONTH(C117),
_xlpm.d,DAY(C117),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ROUNDUP(D103*(1+_xlpm.r),0)
)</f>
        <v>714</v>
      </c>
      <c r="J117" s="1"/>
    </row>
    <row r="118" spans="1:10">
      <c r="A118">
        <v>117</v>
      </c>
      <c r="B118" s="3" t="str">
        <f t="shared" si="2"/>
        <v>SKU PROD D</v>
      </c>
      <c r="C118" s="4">
        <f t="shared" si="3"/>
        <v>46271</v>
      </c>
      <c r="D118" s="3" cm="1">
        <f t="array" ref="D118">_xlfn.LET(
_xlpm.m,MONTH(C118),
_xlpm.d,DAY(C118),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ROUNDUP(D104*(1+_xlpm.r),0)
)</f>
        <v>477</v>
      </c>
      <c r="J118" s="1"/>
    </row>
    <row r="119" spans="1:10">
      <c r="A119">
        <v>118</v>
      </c>
      <c r="B119" s="3" t="str">
        <f t="shared" si="2"/>
        <v>SKU PROD A</v>
      </c>
      <c r="C119" s="4">
        <f t="shared" si="3"/>
        <v>46272</v>
      </c>
      <c r="D119" s="3" cm="1">
        <f t="array" ref="D119">_xlfn.LET(
_xlpm.m,MONTH(C119),
_xlpm.d,DAY(C119),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ROUNDUP(D105*(1+_xlpm.r),0)
)</f>
        <v>793</v>
      </c>
      <c r="J119" s="1"/>
    </row>
    <row r="120" spans="1:10">
      <c r="A120">
        <v>119</v>
      </c>
      <c r="B120" s="3" t="str">
        <f t="shared" si="2"/>
        <v>SKU PROD C</v>
      </c>
      <c r="C120" s="4">
        <f t="shared" si="3"/>
        <v>46274</v>
      </c>
      <c r="D120" s="3" cm="1">
        <f t="array" ref="D120">_xlfn.LET(
_xlpm.m,MONTH(C120),
_xlpm.d,DAY(C120),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ROUNDUP(D106*(1+_xlpm.r),0)
)</f>
        <v>397</v>
      </c>
      <c r="J120" s="1"/>
    </row>
    <row r="121" spans="1:10">
      <c r="A121">
        <v>120</v>
      </c>
      <c r="B121" s="3" t="str">
        <f t="shared" si="2"/>
        <v>SKU PROD E</v>
      </c>
      <c r="C121" s="4">
        <f t="shared" si="3"/>
        <v>46277</v>
      </c>
      <c r="D121" s="3" cm="1">
        <f t="array" ref="D121">_xlfn.LET(
_xlpm.m,MONTH(C121),
_xlpm.d,DAY(C121),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ROUNDUP(D107*(1+_xlpm.r),0)
)</f>
        <v>263</v>
      </c>
      <c r="J121" s="1"/>
    </row>
    <row r="122" spans="1:10">
      <c r="A122">
        <v>121</v>
      </c>
      <c r="B122" s="3" t="str">
        <f t="shared" si="2"/>
        <v>SKU PROD B</v>
      </c>
      <c r="C122" s="4">
        <f t="shared" si="3"/>
        <v>46278</v>
      </c>
      <c r="D122" s="3" cm="1">
        <f t="array" ref="D122">_xlfn.LET(
_xlpm.m,MONTH(C122),
_xlpm.d,DAY(C122),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ROUNDUP(D108*(1+_xlpm.r),0)
)</f>
        <v>395</v>
      </c>
      <c r="J122" s="1"/>
    </row>
    <row r="123" spans="1:10">
      <c r="A123">
        <v>122</v>
      </c>
      <c r="B123" s="3" t="str">
        <f t="shared" si="2"/>
        <v>SKU PROD D</v>
      </c>
      <c r="C123" s="4">
        <f t="shared" si="3"/>
        <v>46282</v>
      </c>
      <c r="D123" s="3" cm="1">
        <f t="array" ref="D123">_xlfn.LET(
_xlpm.m,MONTH(C123),
_xlpm.d,DAY(C123),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ROUNDUP(D109*(1+_xlpm.r),0)
)</f>
        <v>561</v>
      </c>
      <c r="J123" s="1"/>
    </row>
    <row r="124" spans="1:10">
      <c r="A124">
        <v>123</v>
      </c>
      <c r="B124" s="3" t="str">
        <f t="shared" si="2"/>
        <v>SKU PROD C</v>
      </c>
      <c r="C124" s="4">
        <f t="shared" si="3"/>
        <v>46285</v>
      </c>
      <c r="D124" s="3" cm="1">
        <f t="array" ref="D124">_xlfn.LET(
_xlpm.m,MONTH(C124),
_xlpm.d,DAY(C124),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ROUNDUP(D110*(1+_xlpm.r),0)
)</f>
        <v>516</v>
      </c>
      <c r="J124" s="1"/>
    </row>
    <row r="125" spans="1:10">
      <c r="A125">
        <v>124</v>
      </c>
      <c r="B125" s="3" t="str">
        <f t="shared" si="2"/>
        <v>SKU PROD A</v>
      </c>
      <c r="C125" s="4">
        <f t="shared" si="3"/>
        <v>46289</v>
      </c>
      <c r="D125" s="3" cm="1">
        <f t="array" ref="D125">_xlfn.LET(
_xlpm.m,MONTH(C125),
_xlpm.d,DAY(C125),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ROUNDUP(D111*(1+_xlpm.r),0)
)</f>
        <v>713</v>
      </c>
      <c r="J125" s="1"/>
    </row>
    <row r="126" spans="1:10">
      <c r="A126">
        <v>125</v>
      </c>
      <c r="B126" s="3" t="str">
        <f t="shared" si="2"/>
        <v>SKU PROD D</v>
      </c>
      <c r="C126" s="4">
        <f t="shared" si="3"/>
        <v>46293</v>
      </c>
      <c r="D126" s="3" cm="1">
        <f t="array" ref="D126">_xlfn.LET(
_xlpm.m,MONTH(C126),
_xlpm.d,DAY(C126),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ROUNDUP(D112*(1+_xlpm.r),0)
)</f>
        <v>3130</v>
      </c>
      <c r="J126" s="1"/>
    </row>
    <row r="127" spans="1:10">
      <c r="A127">
        <v>126</v>
      </c>
      <c r="B127" s="3" t="str">
        <f t="shared" si="2"/>
        <v>SKU PROD E</v>
      </c>
      <c r="C127" s="4">
        <f t="shared" si="3"/>
        <v>46293</v>
      </c>
      <c r="D127" s="3" cm="1">
        <f t="array" ref="D127">_xlfn.LET(
_xlpm.m,MONTH(C127),
_xlpm.d,DAY(C127),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ROUNDUP(D113*(1+_xlpm.r),0)
)</f>
        <v>2088</v>
      </c>
      <c r="J127" s="1"/>
    </row>
    <row r="128" spans="1:10">
      <c r="A128">
        <v>127</v>
      </c>
      <c r="B128" s="3" t="str">
        <f t="shared" si="2"/>
        <v>SKU PROD A</v>
      </c>
      <c r="C128" s="4">
        <f t="shared" si="3"/>
        <v>46298</v>
      </c>
      <c r="D128" s="3" cm="1">
        <f t="array" ref="D128">_xlfn.LET(
_xlpm.m,MONTH(C128),
_xlpm.d,DAY(C128),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ROUNDUP(D114*(1+_xlpm.r),0)
)</f>
        <v>714</v>
      </c>
      <c r="J128" s="1"/>
    </row>
    <row r="129" spans="1:10">
      <c r="A129">
        <v>128</v>
      </c>
      <c r="B129" s="3" t="str">
        <f t="shared" si="2"/>
        <v>SKU PROD B</v>
      </c>
      <c r="C129" s="4">
        <f t="shared" si="3"/>
        <v>46298</v>
      </c>
      <c r="D129" s="3" cm="1">
        <f t="array" ref="D129">_xlfn.LET(
_xlpm.m,MONTH(C129),
_xlpm.d,DAY(C129),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ROUNDUP(D115*(1+_xlpm.r),0)
)</f>
        <v>4274</v>
      </c>
      <c r="J129" s="1"/>
    </row>
    <row r="130" spans="1:10">
      <c r="A130">
        <v>129</v>
      </c>
      <c r="B130" s="3" t="str">
        <f t="shared" si="2"/>
        <v>SKU PROD A</v>
      </c>
      <c r="C130" s="4">
        <f t="shared" si="3"/>
        <v>46299</v>
      </c>
      <c r="D130" s="3" cm="1">
        <f t="array" ref="D130">_xlfn.LET(
_xlpm.m,MONTH(C130),
_xlpm.d,DAY(C130),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ROUNDUP(D116*(1+_xlpm.r),0)
)</f>
        <v>287</v>
      </c>
      <c r="J130" s="1"/>
    </row>
    <row r="131" spans="1:10">
      <c r="A131">
        <v>130</v>
      </c>
      <c r="B131" s="3" t="str">
        <f t="shared" si="2"/>
        <v>SKU PROD C</v>
      </c>
      <c r="C131" s="4">
        <f t="shared" si="3"/>
        <v>46300</v>
      </c>
      <c r="D131" s="3" cm="1">
        <f t="array" ref="D131">_xlfn.LET(
_xlpm.m,MONTH(C131),
_xlpm.d,DAY(C131),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ROUNDUP(D117*(1+_xlpm.r),0)
)</f>
        <v>643</v>
      </c>
      <c r="J131" s="1"/>
    </row>
    <row r="132" spans="1:10">
      <c r="A132">
        <v>131</v>
      </c>
      <c r="B132" s="3" t="str">
        <f t="shared" si="2"/>
        <v>SKU PROD D</v>
      </c>
      <c r="C132" s="4">
        <f t="shared" si="3"/>
        <v>46301</v>
      </c>
      <c r="D132" s="3" cm="1">
        <f t="array" ref="D132">_xlfn.LET(
_xlpm.m,MONTH(C132),
_xlpm.d,DAY(C132),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ROUNDUP(D118*(1+_xlpm.r),0)
)</f>
        <v>430</v>
      </c>
      <c r="J132" s="1"/>
    </row>
    <row r="133" spans="1:10">
      <c r="A133">
        <v>132</v>
      </c>
      <c r="B133" s="3" t="str">
        <f t="shared" si="2"/>
        <v>SKU PROD A</v>
      </c>
      <c r="C133" s="4">
        <f t="shared" si="3"/>
        <v>46302</v>
      </c>
      <c r="D133" s="3" cm="1">
        <f t="array" ref="D133">_xlfn.LET(
_xlpm.m,MONTH(C133),
_xlpm.d,DAY(C133),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ROUNDUP(D119*(1+_xlpm.r),0)
)</f>
        <v>714</v>
      </c>
      <c r="J133" s="1"/>
    </row>
    <row r="134" spans="1:10">
      <c r="A134">
        <v>133</v>
      </c>
      <c r="B134" s="3" t="str">
        <f t="shared" si="2"/>
        <v>SKU PROD C</v>
      </c>
      <c r="C134" s="4">
        <f t="shared" si="3"/>
        <v>46304</v>
      </c>
      <c r="D134" s="3" cm="1">
        <f t="array" ref="D134">_xlfn.LET(
_xlpm.m,MONTH(C134),
_xlpm.d,DAY(C134),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ROUNDUP(D120*(1+_xlpm.r),0)
)</f>
        <v>358</v>
      </c>
      <c r="J134" s="1"/>
    </row>
    <row r="135" spans="1:10">
      <c r="A135">
        <v>134</v>
      </c>
      <c r="B135" s="3" t="str">
        <f t="shared" si="2"/>
        <v>SKU PROD E</v>
      </c>
      <c r="C135" s="4">
        <f t="shared" si="3"/>
        <v>46307</v>
      </c>
      <c r="D135" s="3" cm="1">
        <f t="array" ref="D135">_xlfn.LET(
_xlpm.m,MONTH(C135),
_xlpm.d,DAY(C135),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ROUNDUP(D121*(1+_xlpm.r),0)
)</f>
        <v>250</v>
      </c>
      <c r="J135" s="1"/>
    </row>
    <row r="136" spans="1:10">
      <c r="A136">
        <v>135</v>
      </c>
      <c r="B136" s="3" t="str">
        <f t="shared" si="2"/>
        <v>SKU PROD B</v>
      </c>
      <c r="C136" s="4">
        <f t="shared" si="3"/>
        <v>46308</v>
      </c>
      <c r="D136" s="3" cm="1">
        <f t="array" ref="D136">_xlfn.LET(
_xlpm.m,MONTH(C136),
_xlpm.d,DAY(C136),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ROUNDUP(D122*(1+_xlpm.r),0)
)</f>
        <v>376</v>
      </c>
      <c r="J136" s="1"/>
    </row>
    <row r="137" spans="1:10">
      <c r="A137">
        <v>136</v>
      </c>
      <c r="B137" s="3" t="str">
        <f t="shared" si="2"/>
        <v>SKU PROD D</v>
      </c>
      <c r="C137" s="4">
        <f t="shared" si="3"/>
        <v>46312</v>
      </c>
      <c r="D137" s="3" cm="1">
        <f t="array" ref="D137">_xlfn.LET(
_xlpm.m,MONTH(C137),
_xlpm.d,DAY(C137),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ROUNDUP(D123*(1+_xlpm.r),0)
)</f>
        <v>533</v>
      </c>
      <c r="J137" s="1"/>
    </row>
    <row r="138" spans="1:10">
      <c r="A138">
        <v>137</v>
      </c>
      <c r="B138" s="3" t="str">
        <f t="shared" si="2"/>
        <v>SKU PROD C</v>
      </c>
      <c r="C138" s="4">
        <f t="shared" si="3"/>
        <v>46315</v>
      </c>
      <c r="D138" s="3" cm="1">
        <f t="array" ref="D138">_xlfn.LET(
_xlpm.m,MONTH(C138),
_xlpm.d,DAY(C138),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ROUNDUP(D124*(1+_xlpm.r),0)
)</f>
        <v>491</v>
      </c>
      <c r="J138" s="1"/>
    </row>
    <row r="139" spans="1:10">
      <c r="A139">
        <v>138</v>
      </c>
      <c r="B139" s="3" t="str">
        <f t="shared" si="2"/>
        <v>SKU PROD A</v>
      </c>
      <c r="C139" s="4">
        <f t="shared" si="3"/>
        <v>46319</v>
      </c>
      <c r="D139" s="3" cm="1">
        <f t="array" ref="D139">_xlfn.LET(
_xlpm.m,MONTH(C139),
_xlpm.d,DAY(C139),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ROUNDUP(D125*(1+_xlpm.r),0)
)</f>
        <v>678</v>
      </c>
      <c r="J139" s="1"/>
    </row>
    <row r="140" spans="1:10">
      <c r="A140">
        <v>139</v>
      </c>
      <c r="B140" s="3" t="str">
        <f t="shared" si="2"/>
        <v>SKU PROD D</v>
      </c>
      <c r="C140" s="4">
        <f t="shared" si="3"/>
        <v>46323</v>
      </c>
      <c r="D140" s="3" cm="1">
        <f t="array" ref="D140">_xlfn.LET(
_xlpm.m,MONTH(C140),
_xlpm.d,DAY(C140),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ROUNDUP(D126*(1+_xlpm.r),0)
)</f>
        <v>2974</v>
      </c>
      <c r="J140" s="1"/>
    </row>
    <row r="141" spans="1:10">
      <c r="A141">
        <v>140</v>
      </c>
      <c r="B141" s="3" t="str">
        <f t="shared" si="2"/>
        <v>SKU PROD E</v>
      </c>
      <c r="C141" s="4">
        <f t="shared" si="3"/>
        <v>46323</v>
      </c>
      <c r="D141" s="3" cm="1">
        <f t="array" ref="D141">_xlfn.LET(
_xlpm.m,MONTH(C141),
_xlpm.d,DAY(C141),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ROUNDUP(D127*(1+_xlpm.r),0)
)</f>
        <v>1984</v>
      </c>
      <c r="J141" s="1"/>
    </row>
    <row r="142" spans="1:10">
      <c r="A142">
        <v>141</v>
      </c>
      <c r="B142" s="3" t="str">
        <f t="shared" si="2"/>
        <v>SKU PROD A</v>
      </c>
      <c r="C142" s="4">
        <f t="shared" si="3"/>
        <v>46329</v>
      </c>
      <c r="D142" s="3" cm="1">
        <f t="array" ref="D142">_xlfn.LET(
_xlpm.m,MONTH(C142),
_xlpm.d,DAY(C142),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ROUNDUP(D128*(1+_xlpm.r),0)
)</f>
        <v>800</v>
      </c>
      <c r="J142" s="1"/>
    </row>
    <row r="143" spans="1:10">
      <c r="A143">
        <v>142</v>
      </c>
      <c r="B143" s="3" t="str">
        <f t="shared" si="2"/>
        <v>SKU PROD B</v>
      </c>
      <c r="C143" s="4">
        <f t="shared" si="3"/>
        <v>46329</v>
      </c>
      <c r="D143" s="3" cm="1">
        <f t="array" ref="D143">_xlfn.LET(
_xlpm.m,MONTH(C143),
_xlpm.d,DAY(C143),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ROUNDUP(D129*(1+_xlpm.r),0)
)</f>
        <v>4787</v>
      </c>
      <c r="J143" s="1"/>
    </row>
    <row r="144" spans="1:10">
      <c r="A144">
        <v>143</v>
      </c>
      <c r="B144" s="3" t="str">
        <f t="shared" si="2"/>
        <v>SKU PROD A</v>
      </c>
      <c r="C144" s="4">
        <f t="shared" si="3"/>
        <v>46330</v>
      </c>
      <c r="D144" s="3" cm="1">
        <f t="array" ref="D144">_xlfn.LET(
_xlpm.m,MONTH(C144),
_xlpm.d,DAY(C144),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ROUNDUP(D130*(1+_xlpm.r),0)
)</f>
        <v>322</v>
      </c>
      <c r="J144" s="1"/>
    </row>
    <row r="145" spans="1:10">
      <c r="A145">
        <v>144</v>
      </c>
      <c r="B145" s="3" t="str">
        <f t="shared" ref="B145:B169" si="4">B131</f>
        <v>SKU PROD C</v>
      </c>
      <c r="C145" s="4">
        <f t="shared" ref="C145:C169" si="5">EDATE(C131,1)</f>
        <v>46331</v>
      </c>
      <c r="D145" s="3" cm="1">
        <f t="array" ref="D145">_xlfn.LET(
_xlpm.m,MONTH(C145),
_xlpm.d,DAY(C145),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ROUNDUP(D131*(1+_xlpm.r),0)
)</f>
        <v>721</v>
      </c>
      <c r="J145" s="1"/>
    </row>
    <row r="146" spans="1:10">
      <c r="A146">
        <v>145</v>
      </c>
      <c r="B146" s="3" t="str">
        <f t="shared" si="4"/>
        <v>SKU PROD D</v>
      </c>
      <c r="C146" s="4">
        <f t="shared" si="5"/>
        <v>46332</v>
      </c>
      <c r="D146" s="3" cm="1">
        <f t="array" ref="D146">_xlfn.LET(
_xlpm.m,MONTH(C146),
_xlpm.d,DAY(C146),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ROUNDUP(D132*(1+_xlpm.r),0)
)</f>
        <v>482</v>
      </c>
      <c r="J146" s="1"/>
    </row>
    <row r="147" spans="1:10">
      <c r="A147">
        <v>146</v>
      </c>
      <c r="B147" s="3" t="str">
        <f t="shared" si="4"/>
        <v>SKU PROD A</v>
      </c>
      <c r="C147" s="4">
        <f t="shared" si="5"/>
        <v>46333</v>
      </c>
      <c r="D147" s="3" cm="1">
        <f t="array" ref="D147">_xlfn.LET(
_xlpm.m,MONTH(C147),
_xlpm.d,DAY(C147),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ROUNDUP(D133*(1+_xlpm.r),0)
)</f>
        <v>800</v>
      </c>
      <c r="J147" s="1"/>
    </row>
    <row r="148" spans="1:10">
      <c r="A148">
        <v>147</v>
      </c>
      <c r="B148" s="3" t="str">
        <f t="shared" si="4"/>
        <v>SKU PROD C</v>
      </c>
      <c r="C148" s="4">
        <f t="shared" si="5"/>
        <v>46335</v>
      </c>
      <c r="D148" s="3" cm="1">
        <f t="array" ref="D148">_xlfn.LET(
_xlpm.m,MONTH(C148),
_xlpm.d,DAY(C148),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ROUNDUP(D134*(1+_xlpm.r),0)
)</f>
        <v>401</v>
      </c>
      <c r="J148" s="1"/>
    </row>
    <row r="149" spans="1:10">
      <c r="A149">
        <v>148</v>
      </c>
      <c r="B149" s="3" t="str">
        <f t="shared" si="4"/>
        <v>SKU PROD E</v>
      </c>
      <c r="C149" s="4">
        <f t="shared" si="5"/>
        <v>46338</v>
      </c>
      <c r="D149" s="3" cm="1">
        <f t="array" ref="D149">_xlfn.LET(
_xlpm.m,MONTH(C149),
_xlpm.d,DAY(C149),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ROUNDUP(D135*(1+_xlpm.r),0)
)</f>
        <v>280</v>
      </c>
      <c r="J149" s="1"/>
    </row>
    <row r="150" spans="1:10">
      <c r="A150">
        <v>149</v>
      </c>
      <c r="B150" s="3" t="str">
        <f t="shared" si="4"/>
        <v>SKU PROD B</v>
      </c>
      <c r="C150" s="4">
        <f t="shared" si="5"/>
        <v>46339</v>
      </c>
      <c r="D150" s="3" cm="1">
        <f t="array" ref="D150">_xlfn.LET(
_xlpm.m,MONTH(C150),
_xlpm.d,DAY(C150),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ROUNDUP(D136*(1+_xlpm.r),0)
)</f>
        <v>399</v>
      </c>
      <c r="J150" s="1"/>
    </row>
    <row r="151" spans="1:10">
      <c r="A151">
        <v>150</v>
      </c>
      <c r="B151" s="3" t="str">
        <f t="shared" si="4"/>
        <v>SKU PROD D</v>
      </c>
      <c r="C151" s="4">
        <f t="shared" si="5"/>
        <v>46343</v>
      </c>
      <c r="D151" s="3" cm="1">
        <f t="array" ref="D151">_xlfn.LET(
_xlpm.m,MONTH(C151),
_xlpm.d,DAY(C151),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ROUNDUP(D137*(1+_xlpm.r),0)
)</f>
        <v>565</v>
      </c>
      <c r="J151" s="1"/>
    </row>
    <row r="152" spans="1:10">
      <c r="A152">
        <v>151</v>
      </c>
      <c r="B152" s="3" t="str">
        <f t="shared" si="4"/>
        <v>SKU PROD C</v>
      </c>
      <c r="C152" s="4">
        <f t="shared" si="5"/>
        <v>46346</v>
      </c>
      <c r="D152" s="3" cm="1">
        <f t="array" ref="D152">_xlfn.LET(
_xlpm.m,MONTH(C152),
_xlpm.d,DAY(C152),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ROUNDUP(D138*(1+_xlpm.r),0)
)</f>
        <v>521</v>
      </c>
      <c r="J152" s="1"/>
    </row>
    <row r="153" spans="1:10">
      <c r="A153">
        <v>152</v>
      </c>
      <c r="B153" s="3" t="str">
        <f t="shared" si="4"/>
        <v>SKU PROD A</v>
      </c>
      <c r="C153" s="4">
        <f t="shared" si="5"/>
        <v>46350</v>
      </c>
      <c r="D153" s="3" cm="1">
        <f t="array" ref="D153">_xlfn.LET(
_xlpm.m,MONTH(C153),
_xlpm.d,DAY(C153),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ROUNDUP(D139*(1+_xlpm.r),0)
)</f>
        <v>719</v>
      </c>
      <c r="J153" s="1"/>
    </row>
    <row r="154" spans="1:10">
      <c r="A154">
        <v>153</v>
      </c>
      <c r="B154" s="3" t="str">
        <f t="shared" si="4"/>
        <v>SKU PROD D</v>
      </c>
      <c r="C154" s="4">
        <f t="shared" si="5"/>
        <v>46354</v>
      </c>
      <c r="D154" s="3" cm="1">
        <f t="array" ref="D154">_xlfn.LET(
_xlpm.m,MONTH(C154),
_xlpm.d,DAY(C154),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ROUNDUP(D140*(1+_xlpm.r),0)
)</f>
        <v>3153</v>
      </c>
      <c r="J154" s="1"/>
    </row>
    <row r="155" spans="1:10">
      <c r="A155">
        <v>154</v>
      </c>
      <c r="B155" s="3" t="str">
        <f t="shared" si="4"/>
        <v>SKU PROD E</v>
      </c>
      <c r="C155" s="4">
        <f t="shared" si="5"/>
        <v>46354</v>
      </c>
      <c r="D155" s="3" cm="1">
        <f t="array" ref="D155">_xlfn.LET(
_xlpm.m,MONTH(C155),
_xlpm.d,DAY(C155),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ROUNDUP(D141*(1+_xlpm.r),0)
)</f>
        <v>2104</v>
      </c>
      <c r="J155" s="1"/>
    </row>
    <row r="156" spans="1:10">
      <c r="A156">
        <v>155</v>
      </c>
      <c r="B156" s="3" t="str">
        <f t="shared" si="4"/>
        <v>SKU PROD A</v>
      </c>
      <c r="C156" s="4">
        <f t="shared" si="5"/>
        <v>46359</v>
      </c>
      <c r="D156" s="3" cm="1">
        <f t="array" ref="D156">_xlfn.LET(
_xlpm.m,MONTH(C156),
_xlpm.d,DAY(C156),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ROUNDUP(D142*(1+_xlpm.r),0)
)</f>
        <v>848</v>
      </c>
      <c r="J156" s="1"/>
    </row>
    <row r="157" spans="1:10">
      <c r="A157">
        <v>156</v>
      </c>
      <c r="B157" s="3" t="str">
        <f t="shared" si="4"/>
        <v>SKU PROD B</v>
      </c>
      <c r="C157" s="4">
        <f t="shared" si="5"/>
        <v>46359</v>
      </c>
      <c r="D157" s="3" cm="1">
        <f t="array" ref="D157">_xlfn.LET(
_xlpm.m,MONTH(C157),
_xlpm.d,DAY(C157),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ROUNDUP(D143*(1+_xlpm.r),0)
)</f>
        <v>5075</v>
      </c>
      <c r="J157" s="1"/>
    </row>
    <row r="158" spans="1:10">
      <c r="A158">
        <v>157</v>
      </c>
      <c r="B158" s="3" t="str">
        <f t="shared" si="4"/>
        <v>SKU PROD A</v>
      </c>
      <c r="C158" s="4">
        <f t="shared" si="5"/>
        <v>46360</v>
      </c>
      <c r="D158" s="3" cm="1">
        <f t="array" ref="D158">_xlfn.LET(
_xlpm.m,MONTH(C158),
_xlpm.d,DAY(C158),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ROUNDUP(D144*(1+_xlpm.r),0)
)</f>
        <v>342</v>
      </c>
      <c r="J158" s="1"/>
    </row>
    <row r="159" spans="1:10">
      <c r="A159">
        <v>158</v>
      </c>
      <c r="B159" s="3" t="str">
        <f t="shared" si="4"/>
        <v>SKU PROD C</v>
      </c>
      <c r="C159" s="4">
        <f t="shared" si="5"/>
        <v>46361</v>
      </c>
      <c r="D159" s="3" cm="1">
        <f t="array" ref="D159">_xlfn.LET(
_xlpm.m,MONTH(C159),
_xlpm.d,DAY(C159),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ROUNDUP(D145*(1+_xlpm.r),0)
)</f>
        <v>765</v>
      </c>
      <c r="J159" s="1"/>
    </row>
    <row r="160" spans="1:10">
      <c r="A160">
        <v>159</v>
      </c>
      <c r="B160" s="3" t="str">
        <f t="shared" si="4"/>
        <v>SKU PROD D</v>
      </c>
      <c r="C160" s="4">
        <f t="shared" si="5"/>
        <v>46362</v>
      </c>
      <c r="D160" s="3" cm="1">
        <f t="array" ref="D160">_xlfn.LET(
_xlpm.m,MONTH(C160),
_xlpm.d,DAY(C160),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ROUNDUP(D146*(1+_xlpm.r),0)
)</f>
        <v>511</v>
      </c>
      <c r="J160" s="1"/>
    </row>
    <row r="161" spans="1:10">
      <c r="A161">
        <v>160</v>
      </c>
      <c r="B161" s="3" t="str">
        <f t="shared" si="4"/>
        <v>SKU PROD A</v>
      </c>
      <c r="C161" s="4">
        <f t="shared" si="5"/>
        <v>46363</v>
      </c>
      <c r="D161" s="3" cm="1">
        <f t="array" ref="D161">_xlfn.LET(
_xlpm.m,MONTH(C161),
_xlpm.d,DAY(C161),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ROUNDUP(D147*(1+_xlpm.r),0)
)</f>
        <v>848</v>
      </c>
      <c r="J161" s="1"/>
    </row>
    <row r="162" spans="1:10">
      <c r="A162">
        <v>161</v>
      </c>
      <c r="B162" s="3" t="str">
        <f t="shared" si="4"/>
        <v>SKU PROD C</v>
      </c>
      <c r="C162" s="4">
        <f t="shared" si="5"/>
        <v>46365</v>
      </c>
      <c r="D162" s="3" cm="1">
        <f t="array" ref="D162">_xlfn.LET(
_xlpm.m,MONTH(C162),
_xlpm.d,DAY(C162),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ROUNDUP(D148*(1+_xlpm.r),0)
)</f>
        <v>426</v>
      </c>
      <c r="J162" s="1"/>
    </row>
    <row r="163" spans="1:10">
      <c r="A163">
        <v>162</v>
      </c>
      <c r="B163" s="3" t="str">
        <f t="shared" si="4"/>
        <v>SKU PROD E</v>
      </c>
      <c r="C163" s="4">
        <f t="shared" si="5"/>
        <v>46368</v>
      </c>
      <c r="D163" s="3" cm="1">
        <f t="array" ref="D163">_xlfn.LET(
_xlpm.m,MONTH(C163),
_xlpm.d,DAY(C163),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ROUNDUP(D149*(1+_xlpm.r),0)
)</f>
        <v>314</v>
      </c>
      <c r="J163" s="1"/>
    </row>
    <row r="164" spans="1:10">
      <c r="A164">
        <v>163</v>
      </c>
      <c r="B164" s="3" t="str">
        <f t="shared" si="4"/>
        <v>SKU PROD B</v>
      </c>
      <c r="C164" s="4">
        <f t="shared" si="5"/>
        <v>46369</v>
      </c>
      <c r="D164" s="3" cm="1">
        <f t="array" ref="D164">_xlfn.LET(
_xlpm.m,MONTH(C164),
_xlpm.d,DAY(C164),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ROUNDUP(D150*(1+_xlpm.r),0)
)</f>
        <v>447</v>
      </c>
      <c r="J164" s="1"/>
    </row>
    <row r="165" spans="1:10">
      <c r="A165">
        <v>164</v>
      </c>
      <c r="B165" s="3" t="str">
        <f t="shared" si="4"/>
        <v>SKU PROD D</v>
      </c>
      <c r="C165" s="4">
        <f t="shared" si="5"/>
        <v>46373</v>
      </c>
      <c r="D165" s="3" cm="1">
        <f t="array" ref="D165">_xlfn.LET(
_xlpm.m,MONTH(C165),
_xlpm.d,DAY(C165),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ROUNDUP(D151*(1+_xlpm.r),0)
)</f>
        <v>633</v>
      </c>
      <c r="J165" s="1"/>
    </row>
    <row r="166" spans="1:10">
      <c r="A166">
        <v>165</v>
      </c>
      <c r="B166" s="3" t="str">
        <f t="shared" si="4"/>
        <v>SKU PROD C</v>
      </c>
      <c r="C166" s="4">
        <f t="shared" si="5"/>
        <v>46376</v>
      </c>
      <c r="D166" s="3" cm="1">
        <f t="array" ref="D166">_xlfn.LET(
_xlpm.m,MONTH(C166),
_xlpm.d,DAY(C166),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ROUNDUP(D152*(1+_xlpm.r),0)
)</f>
        <v>584</v>
      </c>
      <c r="J166" s="1"/>
    </row>
    <row r="167" spans="1:10">
      <c r="A167">
        <v>166</v>
      </c>
      <c r="B167" s="3" t="str">
        <f t="shared" si="4"/>
        <v>SKU PROD A</v>
      </c>
      <c r="C167" s="4">
        <f t="shared" si="5"/>
        <v>46380</v>
      </c>
      <c r="D167" s="3" cm="1">
        <f t="array" ref="D167">_xlfn.LET(
_xlpm.m,MONTH(C167),
_xlpm.d,DAY(C167),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ROUNDUP(D153*(1+_xlpm.r),0)
)</f>
        <v>806</v>
      </c>
      <c r="J167" s="1"/>
    </row>
    <row r="168" spans="1:10">
      <c r="A168">
        <v>167</v>
      </c>
      <c r="B168" s="3" t="str">
        <f t="shared" si="4"/>
        <v>SKU PROD D</v>
      </c>
      <c r="C168" s="4">
        <f t="shared" si="5"/>
        <v>46384</v>
      </c>
      <c r="D168" s="3" cm="1">
        <f t="array" ref="D168">_xlfn.LET(
_xlpm.m,MONTH(C168),
_xlpm.d,DAY(C168),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ROUNDUP(D154*(1+_xlpm.r),0)
)</f>
        <v>3532</v>
      </c>
      <c r="J168" s="1"/>
    </row>
    <row r="169" spans="1:10">
      <c r="A169">
        <v>168</v>
      </c>
      <c r="B169" s="3" t="str">
        <f t="shared" si="4"/>
        <v>SKU PROD E</v>
      </c>
      <c r="C169" s="4">
        <f t="shared" si="5"/>
        <v>46384</v>
      </c>
      <c r="D169" s="3" cm="1">
        <f t="array" ref="D169">_xlfn.LET(
_xlpm.m,MONTH(C169),
_xlpm.d,DAY(C169),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ROUNDUP(D155*(1+_xlpm.r),0)
)</f>
        <v>2357</v>
      </c>
      <c r="J169" s="1"/>
    </row>
    <row r="1048576" spans="4:4">
      <c r="D1048576">
        <f>SUM(D2:D1048575)</f>
        <v>219178</v>
      </c>
    </row>
  </sheetData>
  <sortState xmlns:xlrd2="http://schemas.microsoft.com/office/spreadsheetml/2017/richdata2" ref="A2:D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F80-25F0-47F4-8E0E-C80153E4E049}">
  <dimension ref="A1:G70"/>
  <sheetViews>
    <sheetView tabSelected="1" topLeftCell="D1" zoomScale="130" zoomScaleNormal="130" workbookViewId="0">
      <selection activeCell="G2" sqref="G2:G6"/>
    </sheetView>
  </sheetViews>
  <sheetFormatPr defaultRowHeight="14.45"/>
  <cols>
    <col min="1" max="1" width="6.28515625" customWidth="1"/>
    <col min="2" max="2" width="15.5703125" customWidth="1"/>
    <col min="3" max="3" width="16.42578125" customWidth="1"/>
    <col min="4" max="4" width="13.5703125" customWidth="1"/>
    <col min="5" max="5" width="14.7109375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7">
      <c r="A2">
        <v>1</v>
      </c>
      <c r="B2" t="s">
        <v>4</v>
      </c>
      <c r="C2" s="1">
        <v>46023</v>
      </c>
      <c r="D2">
        <v>2200</v>
      </c>
      <c r="E2" s="1" t="s">
        <v>14</v>
      </c>
      <c r="F2">
        <f>IF(C7="","",C7+3)</f>
        <v>46032</v>
      </c>
      <c r="G2">
        <v>1.21</v>
      </c>
    </row>
    <row r="3" spans="1:7">
      <c r="A3">
        <v>2</v>
      </c>
      <c r="B3" t="s">
        <v>5</v>
      </c>
      <c r="C3" s="1">
        <v>46023</v>
      </c>
      <c r="D3">
        <v>8000</v>
      </c>
      <c r="E3" t="s">
        <v>14</v>
      </c>
      <c r="F3">
        <f t="shared" ref="F3:F66" si="0">IF(C8="","",C8+3)</f>
        <v>46033</v>
      </c>
      <c r="G3">
        <v>1.21</v>
      </c>
    </row>
    <row r="4" spans="1:7">
      <c r="A4">
        <v>3</v>
      </c>
      <c r="B4" t="s">
        <v>6</v>
      </c>
      <c r="C4" s="1">
        <v>46023</v>
      </c>
      <c r="D4">
        <v>1700</v>
      </c>
      <c r="E4" t="s">
        <v>14</v>
      </c>
      <c r="F4">
        <f t="shared" si="0"/>
        <v>46034</v>
      </c>
      <c r="G4">
        <v>1.21</v>
      </c>
    </row>
    <row r="5" spans="1:7">
      <c r="A5">
        <v>4</v>
      </c>
      <c r="B5" t="s">
        <v>7</v>
      </c>
      <c r="C5" s="1">
        <v>46023</v>
      </c>
      <c r="D5">
        <v>3500</v>
      </c>
      <c r="E5" t="s">
        <v>14</v>
      </c>
      <c r="F5">
        <f t="shared" si="0"/>
        <v>46034</v>
      </c>
      <c r="G5">
        <v>1.21</v>
      </c>
    </row>
    <row r="6" spans="1:7">
      <c r="A6">
        <v>5</v>
      </c>
      <c r="B6" t="s">
        <v>8</v>
      </c>
      <c r="C6" s="1">
        <v>46023</v>
      </c>
      <c r="D6">
        <v>2300</v>
      </c>
      <c r="E6" t="s">
        <v>14</v>
      </c>
      <c r="F6">
        <f t="shared" si="0"/>
        <v>46035</v>
      </c>
      <c r="G6">
        <v>1.21</v>
      </c>
    </row>
    <row r="7" spans="1:7">
      <c r="A7">
        <v>6</v>
      </c>
      <c r="B7" t="str" cm="1">
        <f t="array" ref="B7">IFERROR(INDEX('Reorder Events'!$B$2:$B$200,ROWS($B$7:B7)),"")</f>
        <v>SKU PROD A</v>
      </c>
      <c r="C7" s="1" cm="1">
        <f t="array" ref="C7">IFERROR(INDEX('Reorder Events'!$A$2:$A$200,ROWS($C$7:C7)),"")</f>
        <v>46029</v>
      </c>
      <c r="D7" cm="1">
        <f t="array" ref="D7">IFERROR(INDEX('Reorder Events'!$C$2:$C$200,ROWS($D$7:D7)),"")</f>
        <v>2832</v>
      </c>
      <c r="E7" t="s">
        <v>15</v>
      </c>
      <c r="F7">
        <f t="shared" si="0"/>
        <v>46036</v>
      </c>
      <c r="G7" cm="1">
        <f t="array" ref="G7">IF(F7="","",_xlfn.LET(_xlpm.dt,F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0.79913589743589741</v>
      </c>
    </row>
    <row r="8" spans="1:7">
      <c r="A8">
        <v>7</v>
      </c>
      <c r="B8" t="str" cm="1">
        <f t="array" ref="B8">IFERROR(INDEX('Reorder Events'!$B$2:$B$200,ROWS($B$7:B8)),"")</f>
        <v>SKU PROD A</v>
      </c>
      <c r="C8" s="1" cm="1">
        <f t="array" ref="C8">IFERROR(INDEX('Reorder Events'!$A$2:$A$200,ROWS($C$7:C8)),"")</f>
        <v>46030</v>
      </c>
      <c r="D8" cm="1">
        <f t="array" ref="D8">IFERROR(INDEX('Reorder Events'!$C$2:$C$200,ROWS($D$7:D8)),"")</f>
        <v>2832</v>
      </c>
      <c r="E8" t="s">
        <v>15</v>
      </c>
      <c r="F8">
        <f t="shared" si="0"/>
        <v>46053</v>
      </c>
      <c r="G8" cm="1">
        <f t="array" ref="G8">IF(F8="","",_xlfn.LET(_xlpm.dt,F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0.62213846153846164</v>
      </c>
    </row>
    <row r="9" spans="1:7">
      <c r="A9">
        <v>8</v>
      </c>
      <c r="B9" t="str" cm="1">
        <f t="array" ref="B9">IFERROR(INDEX('Reorder Events'!$B$2:$B$200,ROWS($B$7:B9)),"")</f>
        <v>SKU PROD A</v>
      </c>
      <c r="C9" s="1" cm="1">
        <f t="array" ref="C9">IFERROR(INDEX('Reorder Events'!$A$2:$A$200,ROWS($C$7:C9)),"")</f>
        <v>46031</v>
      </c>
      <c r="D9" cm="1">
        <f t="array" ref="D9">IFERROR(INDEX('Reorder Events'!$C$2:$C$200,ROWS($D$7:D9)),"")</f>
        <v>2832</v>
      </c>
      <c r="E9" t="s">
        <v>15</v>
      </c>
      <c r="F9">
        <f t="shared" si="0"/>
        <v>46053</v>
      </c>
      <c r="G9" cm="1">
        <f t="array" ref="G9">IF(F9="","",_xlfn.LET(_xlpm.dt,F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0.62213846153846164</v>
      </c>
    </row>
    <row r="10" spans="1:7">
      <c r="A10">
        <v>9</v>
      </c>
      <c r="B10" t="str" cm="1">
        <f t="array" ref="B10">IFERROR(INDEX('Reorder Events'!$B$2:$B$200,ROWS($B$7:B10)),"")</f>
        <v>SKU PROD C</v>
      </c>
      <c r="C10" s="1" cm="1">
        <f t="array" ref="C10">IFERROR(INDEX('Reorder Events'!$A$2:$A$200,ROWS($C$7:C10)),"")</f>
        <v>46031</v>
      </c>
      <c r="D10" t="b" cm="1">
        <f t="array" ref="D10">IFERROR(INDEX('Reorder Events'!$C$2:$C$200,ROWS($D$7:D10)),"")</f>
        <v>1</v>
      </c>
      <c r="E10" t="s">
        <v>15</v>
      </c>
      <c r="F10">
        <f t="shared" si="0"/>
        <v>46054</v>
      </c>
      <c r="G10" cm="1">
        <f t="array" ref="G10">IF(F10="","",_xlfn.LET(_xlpm.dt,F10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0.62213846153846164</v>
      </c>
    </row>
    <row r="11" spans="1:7">
      <c r="A11">
        <v>10</v>
      </c>
      <c r="B11" t="str" cm="1">
        <f t="array" ref="B11">IFERROR(INDEX('Reorder Events'!$B$2:$B$200,ROWS($B$7:B11)),"")</f>
        <v>SKU PROD C</v>
      </c>
      <c r="C11" s="1" cm="1">
        <f t="array" ref="C11">IFERROR(INDEX('Reorder Events'!$A$2:$A$200,ROWS($C$7:C11)),"")</f>
        <v>46032</v>
      </c>
      <c r="D11" t="b" cm="1">
        <f t="array" ref="D11">IFERROR(INDEX('Reorder Events'!$C$2:$C$200,ROWS($D$7:D11)),"")</f>
        <v>1</v>
      </c>
      <c r="E11" t="s">
        <v>15</v>
      </c>
      <c r="F11">
        <f t="shared" si="0"/>
        <v>46054</v>
      </c>
      <c r="G11" cm="1">
        <f t="array" ref="G11">IF(F11="","",_xlfn.LET(_xlpm.dt,F11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0.62213846153846164</v>
      </c>
    </row>
    <row r="12" spans="1:7">
      <c r="A12">
        <v>11</v>
      </c>
      <c r="B12" t="str" cm="1">
        <f t="array" ref="B12">IFERROR(INDEX('Reorder Events'!$B$2:$B$200,ROWS($B$7:B12)),"")</f>
        <v>SKU PROD C</v>
      </c>
      <c r="C12" s="1" cm="1">
        <f t="array" ref="C12">IFERROR(INDEX('Reorder Events'!$A$2:$A$200,ROWS($C$7:C12)),"")</f>
        <v>46033</v>
      </c>
      <c r="D12" t="b" cm="1">
        <f t="array" ref="D12">IFERROR(INDEX('Reorder Events'!$C$2:$C$200,ROWS($D$7:D12)),"")</f>
        <v>1</v>
      </c>
      <c r="E12" t="s">
        <v>15</v>
      </c>
      <c r="F12">
        <f t="shared" si="0"/>
        <v>46055</v>
      </c>
      <c r="G12" cm="1">
        <f t="array" ref="G12">IF(F12="","",_xlfn.LET(_xlpm.dt,F12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1.1563884615384616</v>
      </c>
    </row>
    <row r="13" spans="1:7">
      <c r="A13">
        <v>12</v>
      </c>
      <c r="B13" t="str" cm="1">
        <f t="array" ref="B13">IFERROR(INDEX('Reorder Events'!$B$2:$B$200,ROWS($B$7:B13)),"")</f>
        <v>SKU PROD D</v>
      </c>
      <c r="C13" s="1" cm="1">
        <f t="array" ref="C13">IFERROR(INDEX('Reorder Events'!$A$2:$A$200,ROWS($C$7:C13)),"")</f>
        <v>46050</v>
      </c>
      <c r="D13" cm="1">
        <f t="array" ref="D13">IFERROR(INDEX('Reorder Events'!$C$2:$C$200,ROWS($D$7:D13)),"")</f>
        <v>4274</v>
      </c>
      <c r="E13" t="s">
        <v>15</v>
      </c>
      <c r="F13">
        <f t="shared" si="0"/>
        <v>46055</v>
      </c>
      <c r="G13" cm="1">
        <f t="array" ref="G13">IF(F13="","",_xlfn.LET(_xlpm.dt,F13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1.1563884615384616</v>
      </c>
    </row>
    <row r="14" spans="1:7">
      <c r="A14">
        <v>13</v>
      </c>
      <c r="B14" t="str" cm="1">
        <f t="array" ref="B14">IFERROR(INDEX('Reorder Events'!$B$2:$B$200,ROWS($B$7:B14)),"")</f>
        <v>SKU PROD E</v>
      </c>
      <c r="C14" s="1" cm="1">
        <f t="array" ref="C14">IFERROR(INDEX('Reorder Events'!$A$2:$A$200,ROWS($C$7:C14)),"")</f>
        <v>46050</v>
      </c>
      <c r="D14" cm="1">
        <f t="array" ref="D14">IFERROR(INDEX('Reorder Events'!$C$2:$C$200,ROWS($D$7:D14)),"")</f>
        <v>2283</v>
      </c>
      <c r="E14" t="s">
        <v>15</v>
      </c>
      <c r="F14">
        <f t="shared" si="0"/>
        <v>46059</v>
      </c>
      <c r="G14" cm="1">
        <f t="array" ref="G14">IF(F14="","",_xlfn.LET(_xlpm.dt,F14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0.73271538461538466</v>
      </c>
    </row>
    <row r="15" spans="1:7">
      <c r="A15">
        <v>14</v>
      </c>
      <c r="B15" t="str" cm="1">
        <f t="array" ref="B15">IFERROR(INDEX('Reorder Events'!$B$2:$B$200,ROWS($B$7:B15)),"")</f>
        <v>SKU PROD D</v>
      </c>
      <c r="C15" s="1" cm="1">
        <f t="array" ref="C15">IFERROR(INDEX('Reorder Events'!$A$2:$A$200,ROWS($C$7:C15)),"")</f>
        <v>46051</v>
      </c>
      <c r="D15" cm="1">
        <f t="array" ref="D15">IFERROR(INDEX('Reorder Events'!$C$2:$C$200,ROWS($D$7:D15)),"")</f>
        <v>4274</v>
      </c>
      <c r="E15" t="s">
        <v>15</v>
      </c>
      <c r="F15">
        <f t="shared" si="0"/>
        <v>46060</v>
      </c>
      <c r="G15" cm="1">
        <f t="array" ref="G15">IF(F15="","",_xlfn.LET(_xlpm.dt,F15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1.1619653846153846</v>
      </c>
    </row>
    <row r="16" spans="1:7">
      <c r="A16">
        <v>15</v>
      </c>
      <c r="B16" t="str" cm="1">
        <f t="array" ref="B16">IFERROR(INDEX('Reorder Events'!$B$2:$B$200,ROWS($B$7:B16)),"")</f>
        <v>SKU PROD E</v>
      </c>
      <c r="C16" s="1" cm="1">
        <f t="array" ref="C16">IFERROR(INDEX('Reorder Events'!$A$2:$A$200,ROWS($C$7:C16)),"")</f>
        <v>46051</v>
      </c>
      <c r="D16" cm="1">
        <f t="array" ref="D16">IFERROR(INDEX('Reorder Events'!$C$2:$C$200,ROWS($D$7:D16)),"")</f>
        <v>2283</v>
      </c>
      <c r="E16" t="s">
        <v>15</v>
      </c>
      <c r="F16">
        <f t="shared" si="0"/>
        <v>46061</v>
      </c>
      <c r="G16" cm="1">
        <f t="array" ref="G16">IF(F16="","",_xlfn.LET(_xlpm.dt,F16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1.2790423076923076</v>
      </c>
    </row>
    <row r="17" spans="1:7">
      <c r="A17">
        <v>16</v>
      </c>
      <c r="B17" t="str" cm="1">
        <f t="array" ref="B17">IFERROR(INDEX('Reorder Events'!$B$2:$B$200,ROWS($B$7:B17)),"")</f>
        <v>SKU PROD D</v>
      </c>
      <c r="C17" s="1" cm="1">
        <f t="array" ref="C17">IFERROR(INDEX('Reorder Events'!$A$2:$A$200,ROWS($C$7:C17)),"")</f>
        <v>46052</v>
      </c>
      <c r="D17" cm="1">
        <f t="array" ref="D17">IFERROR(INDEX('Reorder Events'!$C$2:$C$200,ROWS($D$7:D17)),"")</f>
        <v>4274</v>
      </c>
      <c r="E17" t="s">
        <v>15</v>
      </c>
      <c r="F17">
        <f t="shared" si="0"/>
        <v>46089</v>
      </c>
      <c r="G17" cm="1">
        <f t="array" ref="G17">IF(F17="","",_xlfn.LET(_xlpm.dt,F17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0.2993291025641025</v>
      </c>
    </row>
    <row r="18" spans="1:7">
      <c r="A18">
        <v>17</v>
      </c>
      <c r="B18" t="str" cm="1">
        <f t="array" ref="B18">IFERROR(INDEX('Reorder Events'!$B$2:$B$200,ROWS($B$7:B18)),"")</f>
        <v>SKU PROD E</v>
      </c>
      <c r="C18" s="1" cm="1">
        <f t="array" ref="C18">IFERROR(INDEX('Reorder Events'!$A$2:$A$200,ROWS($C$7:C18)),"")</f>
        <v>46052</v>
      </c>
      <c r="D18" cm="1">
        <f t="array" ref="D18">IFERROR(INDEX('Reorder Events'!$C$2:$C$200,ROWS($D$7:D18)),"")</f>
        <v>2283</v>
      </c>
      <c r="E18" t="s">
        <v>15</v>
      </c>
      <c r="F18">
        <f t="shared" si="0"/>
        <v>46090</v>
      </c>
      <c r="G18" cm="1">
        <f t="array" ref="G18">IF(F18="","",_xlfn.LET(_xlpm.dt,F18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0.38207269230769225</v>
      </c>
    </row>
    <row r="19" spans="1:7">
      <c r="A19">
        <v>18</v>
      </c>
      <c r="B19" t="str" cm="1">
        <f t="array" ref="B19">IFERROR(INDEX('Reorder Events'!$B$2:$B$200,ROWS($B$7:B19)),"")</f>
        <v>SKU PROD B</v>
      </c>
      <c r="C19" s="1" cm="1">
        <f t="array" ref="C19">IFERROR(INDEX('Reorder Events'!$A$2:$A$200,ROWS($C$7:C19)),"")</f>
        <v>46056</v>
      </c>
      <c r="D19" cm="1">
        <f t="array" ref="D19">IFERROR(INDEX('Reorder Events'!$C$2:$C$200,ROWS($D$7:D19)),"")</f>
        <v>11470</v>
      </c>
      <c r="E19" t="s">
        <v>15</v>
      </c>
      <c r="F19">
        <f t="shared" si="0"/>
        <v>46091</v>
      </c>
      <c r="G19" cm="1">
        <f t="array" ref="G19">IF(F19="","",_xlfn.LET(_xlpm.dt,F19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0.84087269230769235</v>
      </c>
    </row>
    <row r="20" spans="1:7">
      <c r="A20">
        <v>19</v>
      </c>
      <c r="B20" t="str" cm="1">
        <f t="array" ref="B20">IFERROR(INDEX('Reorder Events'!$B$2:$B$200,ROWS($B$7:B20)),"")</f>
        <v>SKU PROD B</v>
      </c>
      <c r="C20" s="1" cm="1">
        <f t="array" ref="C20">IFERROR(INDEX('Reorder Events'!$A$2:$A$200,ROWS($C$7:C20)),"")</f>
        <v>46057</v>
      </c>
      <c r="D20" cm="1">
        <f t="array" ref="D20">IFERROR(INDEX('Reorder Events'!$C$2:$C$200,ROWS($D$7:D20)),"")</f>
        <v>11470</v>
      </c>
      <c r="E20" t="s">
        <v>15</v>
      </c>
      <c r="F20">
        <f t="shared" si="0"/>
        <v>46108</v>
      </c>
      <c r="G20" cm="1">
        <f t="array" ref="G20">IF(F20="","",_xlfn.LET(_xlpm.dt,F20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0.96779948717948727</v>
      </c>
    </row>
    <row r="21" spans="1:7">
      <c r="A21">
        <v>20</v>
      </c>
      <c r="B21" t="str" cm="1">
        <f t="array" ref="B21">IFERROR(INDEX('Reorder Events'!$B$2:$B$200,ROWS($B$7:B21)),"")</f>
        <v>SKU PROD B</v>
      </c>
      <c r="C21" s="1" cm="1">
        <f t="array" ref="C21">IFERROR(INDEX('Reorder Events'!$A$2:$A$200,ROWS($C$7:C21)),"")</f>
        <v>46058</v>
      </c>
      <c r="D21" cm="1">
        <f t="array" ref="D21">IFERROR(INDEX('Reorder Events'!$C$2:$C$200,ROWS($D$7:D21)),"")</f>
        <v>11470</v>
      </c>
      <c r="E21" t="s">
        <v>15</v>
      </c>
      <c r="F21">
        <f t="shared" si="0"/>
        <v>46109</v>
      </c>
      <c r="G21" cm="1">
        <f t="array" ref="G21">IF(F21="","",_xlfn.LET(_xlpm.dt,F21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0.90540076923076906</v>
      </c>
    </row>
    <row r="22" spans="1:7">
      <c r="A22">
        <v>21</v>
      </c>
      <c r="B22" t="str" cm="1">
        <f t="array" ref="B22">IFERROR(INDEX('Reorder Events'!$B$2:$B$200,ROWS($B$7:B22)),"")</f>
        <v>SKU PROD C</v>
      </c>
      <c r="C22" s="1" cm="1">
        <f t="array" ref="C22">IFERROR(INDEX('Reorder Events'!$A$2:$A$200,ROWS($C$7:C22)),"")</f>
        <v>46086</v>
      </c>
      <c r="D22" t="b" cm="1">
        <f t="array" ref="D22">IFERROR(INDEX('Reorder Events'!$C$2:$C$200,ROWS($D$7:D22)),"")</f>
        <v>1</v>
      </c>
      <c r="E22" t="s">
        <v>15</v>
      </c>
      <c r="F22">
        <f t="shared" si="0"/>
        <v>46110</v>
      </c>
      <c r="G22" cm="1">
        <f t="array" ref="G22">IF(F22="","",_xlfn.LET(_xlpm.dt,F22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0.90540076923076906</v>
      </c>
    </row>
    <row r="23" spans="1:7">
      <c r="A23">
        <v>22</v>
      </c>
      <c r="B23" t="str" cm="1">
        <f t="array" ref="B23">IFERROR(INDEX('Reorder Events'!$B$2:$B$200,ROWS($B$7:B23)),"")</f>
        <v>SKU PROD C</v>
      </c>
      <c r="C23" s="1" cm="1">
        <f t="array" ref="C23">IFERROR(INDEX('Reorder Events'!$A$2:$A$200,ROWS($C$7:C23)),"")</f>
        <v>46087</v>
      </c>
      <c r="D23" t="b" cm="1">
        <f t="array" ref="D23">IFERROR(INDEX('Reorder Events'!$C$2:$C$200,ROWS($D$7:D23)),"")</f>
        <v>1</v>
      </c>
      <c r="E23" t="s">
        <v>15</v>
      </c>
      <c r="F23">
        <f t="shared" si="0"/>
        <v>46143</v>
      </c>
      <c r="G23" cm="1">
        <f t="array" ref="G23">IF(F23="","",_xlfn.LET(_xlpm.dt,F23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-0.5930788461538461</v>
      </c>
    </row>
    <row r="24" spans="1:7">
      <c r="A24">
        <v>23</v>
      </c>
      <c r="B24" t="str" cm="1">
        <f t="array" ref="B24">IFERROR(INDEX('Reorder Events'!$B$2:$B$200,ROWS($B$7:B24)),"")</f>
        <v>SKU PROD C</v>
      </c>
      <c r="C24" s="1" cm="1">
        <f t="array" ref="C24">IFERROR(INDEX('Reorder Events'!$A$2:$A$200,ROWS($C$7:C24)),"")</f>
        <v>46088</v>
      </c>
      <c r="D24" t="b" cm="1">
        <f t="array" ref="D24">IFERROR(INDEX('Reorder Events'!$C$2:$C$200,ROWS($D$7:D24)),"")</f>
        <v>1</v>
      </c>
      <c r="E24" t="s">
        <v>15</v>
      </c>
      <c r="F24">
        <f t="shared" si="0"/>
        <v>46143</v>
      </c>
      <c r="G24" cm="1">
        <f t="array" ref="G24">IF(F24="","",_xlfn.LET(_xlpm.dt,F24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-0.5930788461538461</v>
      </c>
    </row>
    <row r="25" spans="1:7">
      <c r="A25">
        <v>24</v>
      </c>
      <c r="B25" t="str" cm="1">
        <f t="array" ref="B25">IFERROR(INDEX('Reorder Events'!$B$2:$B$200,ROWS($B$7:B25)),"")</f>
        <v>SKU PROD A</v>
      </c>
      <c r="C25" s="1" cm="1">
        <f t="array" ref="C25">IFERROR(INDEX('Reorder Events'!$A$2:$A$200,ROWS($C$7:C25)),"")</f>
        <v>46105</v>
      </c>
      <c r="D25" cm="1">
        <f t="array" ref="D25">IFERROR(INDEX('Reorder Events'!$C$2:$C$200,ROWS($D$7:D25)),"")</f>
        <v>2493</v>
      </c>
      <c r="E25" t="s">
        <v>15</v>
      </c>
      <c r="F25">
        <f t="shared" si="0"/>
        <v>46144</v>
      </c>
      <c r="G25" cm="1">
        <f t="array" ref="G25">IF(F25="","",_xlfn.LET(_xlpm.dt,F25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-9.4478846153846177E-2</v>
      </c>
    </row>
    <row r="26" spans="1:7">
      <c r="A26">
        <v>25</v>
      </c>
      <c r="B26" t="str" cm="1">
        <f t="array" ref="B26">IFERROR(INDEX('Reorder Events'!$B$2:$B$200,ROWS($B$7:B26)),"")</f>
        <v>SKU PROD A</v>
      </c>
      <c r="C26" s="1" cm="1">
        <f t="array" ref="C26">IFERROR(INDEX('Reorder Events'!$A$2:$A$200,ROWS($C$7:C26)),"")</f>
        <v>46106</v>
      </c>
      <c r="D26" cm="1">
        <f t="array" ref="D26">IFERROR(INDEX('Reorder Events'!$C$2:$C$200,ROWS($D$7:D26)),"")</f>
        <v>2493</v>
      </c>
      <c r="E26" t="s">
        <v>15</v>
      </c>
      <c r="F26">
        <f t="shared" si="0"/>
        <v>46144</v>
      </c>
      <c r="G26" cm="1">
        <f t="array" ref="G26">IF(F26="","",_xlfn.LET(_xlpm.dt,F26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-9.4478846153846177E-2</v>
      </c>
    </row>
    <row r="27" spans="1:7">
      <c r="A27">
        <v>26</v>
      </c>
      <c r="B27" t="str" cm="1">
        <f t="array" ref="B27">IFERROR(INDEX('Reorder Events'!$B$2:$B$200,ROWS($B$7:B27)),"")</f>
        <v>SKU PROD A</v>
      </c>
      <c r="C27" s="1" cm="1">
        <f t="array" ref="C27">IFERROR(INDEX('Reorder Events'!$A$2:$A$200,ROWS($C$7:C27)),"")</f>
        <v>46107</v>
      </c>
      <c r="D27" cm="1">
        <f t="array" ref="D27">IFERROR(INDEX('Reorder Events'!$C$2:$C$200,ROWS($D$7:D27)),"")</f>
        <v>2493</v>
      </c>
      <c r="E27" t="s">
        <v>15</v>
      </c>
      <c r="F27">
        <f t="shared" si="0"/>
        <v>46145</v>
      </c>
      <c r="G27" cm="1">
        <f t="array" ref="G27">IF(F27="","",_xlfn.LET(_xlpm.dt,F27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0.53437615384615389</v>
      </c>
    </row>
    <row r="28" spans="1:7">
      <c r="A28">
        <v>27</v>
      </c>
      <c r="B28" t="str" cm="1">
        <f t="array" ref="B28">IFERROR(INDEX('Reorder Events'!$B$2:$B$200,ROWS($B$7:B28)),"")</f>
        <v>SKU PROD D</v>
      </c>
      <c r="C28" s="1" cm="1">
        <f t="array" ref="C28">IFERROR(INDEX('Reorder Events'!$A$2:$A$200,ROWS($C$7:C28)),"")</f>
        <v>46140</v>
      </c>
      <c r="D28" cm="1">
        <f t="array" ref="D28">IFERROR(INDEX('Reorder Events'!$C$2:$C$200,ROWS($D$7:D28)),"")</f>
        <v>5763</v>
      </c>
      <c r="E28" t="s">
        <v>15</v>
      </c>
      <c r="F28">
        <f t="shared" si="0"/>
        <v>46145</v>
      </c>
      <c r="G28" cm="1">
        <f t="array" ref="G28">IF(F28="","",_xlfn.LET(_xlpm.dt,F28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0.53437615384615389</v>
      </c>
    </row>
    <row r="29" spans="1:7">
      <c r="A29">
        <v>28</v>
      </c>
      <c r="B29" t="str" cm="1">
        <f t="array" ref="B29">IFERROR(INDEX('Reorder Events'!$B$2:$B$200,ROWS($B$7:B29)),"")</f>
        <v>SKU PROD E</v>
      </c>
      <c r="C29" s="1" cm="1">
        <f t="array" ref="C29">IFERROR(INDEX('Reorder Events'!$A$2:$A$200,ROWS($C$7:C29)),"")</f>
        <v>46140</v>
      </c>
      <c r="D29" cm="1">
        <f t="array" ref="D29">IFERROR(INDEX('Reorder Events'!$C$2:$C$200,ROWS($D$7:D29)),"")</f>
        <v>3096</v>
      </c>
      <c r="E29" t="s">
        <v>15</v>
      </c>
      <c r="F29">
        <f t="shared" si="0"/>
        <v>46150</v>
      </c>
      <c r="G29" cm="1">
        <f t="array" ref="G29">IF(F29="","",_xlfn.LET(_xlpm.dt,F29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0.41700371794871799</v>
      </c>
    </row>
    <row r="30" spans="1:7">
      <c r="A30">
        <v>29</v>
      </c>
      <c r="B30" t="str" cm="1">
        <f t="array" ref="B30">IFERROR(INDEX('Reorder Events'!$B$2:$B$200,ROWS($B$7:B30)),"")</f>
        <v>SKU PROD D</v>
      </c>
      <c r="C30" s="1" cm="1">
        <f t="array" ref="C30">IFERROR(INDEX('Reorder Events'!$A$2:$A$200,ROWS($C$7:C30)),"")</f>
        <v>46141</v>
      </c>
      <c r="D30" cm="1">
        <f t="array" ref="D30">IFERROR(INDEX('Reorder Events'!$C$2:$C$200,ROWS($D$7:D30)),"")</f>
        <v>5763</v>
      </c>
      <c r="E30" t="s">
        <v>15</v>
      </c>
      <c r="F30">
        <f t="shared" si="0"/>
        <v>46151</v>
      </c>
      <c r="G30" cm="1">
        <f t="array" ref="G30">IF(F30="","",_xlfn.LET(_xlpm.dt,F30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1.1039120512820513</v>
      </c>
    </row>
    <row r="31" spans="1:7">
      <c r="A31">
        <v>30</v>
      </c>
      <c r="B31" t="str" cm="1">
        <f t="array" ref="B31">IFERROR(INDEX('Reorder Events'!$B$2:$B$200,ROWS($B$7:B31)),"")</f>
        <v>SKU PROD E</v>
      </c>
      <c r="C31" s="1" cm="1">
        <f t="array" ref="C31">IFERROR(INDEX('Reorder Events'!$A$2:$A$200,ROWS($C$7:C31)),"")</f>
        <v>46141</v>
      </c>
      <c r="D31" cm="1">
        <f t="array" ref="D31">IFERROR(INDEX('Reorder Events'!$C$2:$C$200,ROWS($D$7:D31)),"")</f>
        <v>3096</v>
      </c>
      <c r="E31" t="s">
        <v>15</v>
      </c>
      <c r="F31">
        <f t="shared" si="0"/>
        <v>46152</v>
      </c>
      <c r="G31" cm="1">
        <f t="array" ref="G31">IF(F31="","",_xlfn.LET(_xlpm.dt,F31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1.2626812820512821</v>
      </c>
    </row>
    <row r="32" spans="1:7">
      <c r="A32">
        <v>31</v>
      </c>
      <c r="B32" t="str" cm="1">
        <f t="array" ref="B32">IFERROR(INDEX('Reorder Events'!$B$2:$B$200,ROWS($B$7:B32)),"")</f>
        <v>SKU PROD D</v>
      </c>
      <c r="C32" s="1" cm="1">
        <f t="array" ref="C32">IFERROR(INDEX('Reorder Events'!$A$2:$A$200,ROWS($C$7:C32)),"")</f>
        <v>46142</v>
      </c>
      <c r="D32" cm="1">
        <f t="array" ref="D32">IFERROR(INDEX('Reorder Events'!$C$2:$C$200,ROWS($D$7:D32)),"")</f>
        <v>5763</v>
      </c>
      <c r="E32" t="s">
        <v>15</v>
      </c>
      <c r="F32">
        <f t="shared" si="0"/>
        <v>46169</v>
      </c>
      <c r="G32" cm="1">
        <f t="array" ref="G32">IF(F32="","",_xlfn.LET(_xlpm.dt,F32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1.6695958974358973</v>
      </c>
    </row>
    <row r="33" spans="1:7">
      <c r="A33">
        <v>32</v>
      </c>
      <c r="B33" t="str" cm="1">
        <f t="array" ref="B33">IFERROR(INDEX('Reorder Events'!$B$2:$B$200,ROWS($B$7:B33)),"")</f>
        <v>SKU PROD E</v>
      </c>
      <c r="C33" s="1" cm="1">
        <f t="array" ref="C33">IFERROR(INDEX('Reorder Events'!$A$2:$A$200,ROWS($C$7:C33)),"")</f>
        <v>46142</v>
      </c>
      <c r="D33" cm="1">
        <f t="array" ref="D33">IFERROR(INDEX('Reorder Events'!$C$2:$C$200,ROWS($D$7:D33)),"")</f>
        <v>3096</v>
      </c>
      <c r="E33" t="s">
        <v>15</v>
      </c>
      <c r="F33">
        <f t="shared" si="0"/>
        <v>46170</v>
      </c>
      <c r="G33" cm="1">
        <f t="array" ref="G33">IF(F33="","",_xlfn.LET(_xlpm.dt,F33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1.3082978205128204</v>
      </c>
    </row>
    <row r="34" spans="1:7">
      <c r="A34">
        <v>33</v>
      </c>
      <c r="B34" t="str" cm="1">
        <f t="array" ref="B34">IFERROR(INDEX('Reorder Events'!$B$2:$B$200,ROWS($B$7:B34)),"")</f>
        <v>SKU PROD C</v>
      </c>
      <c r="C34" s="1" cm="1">
        <f t="array" ref="C34">IFERROR(INDEX('Reorder Events'!$A$2:$A$200,ROWS($C$7:C34)),"")</f>
        <v>46147</v>
      </c>
      <c r="D34" t="b" cm="1">
        <f t="array" ref="D34">IFERROR(INDEX('Reorder Events'!$C$2:$C$200,ROWS($D$7:D34)),"")</f>
        <v>1</v>
      </c>
      <c r="E34" t="s">
        <v>15</v>
      </c>
      <c r="F34">
        <f t="shared" si="0"/>
        <v>46171</v>
      </c>
      <c r="G34" cm="1">
        <f t="array" ref="G34">IF(F34="","",_xlfn.LET(_xlpm.dt,F34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1.3082978205128204</v>
      </c>
    </row>
    <row r="35" spans="1:7">
      <c r="A35">
        <v>34</v>
      </c>
      <c r="B35" t="str" cm="1">
        <f t="array" ref="B35">IFERROR(INDEX('Reorder Events'!$B$2:$B$200,ROWS($B$7:B35)),"")</f>
        <v>SKU PROD C</v>
      </c>
      <c r="C35" s="1" cm="1">
        <f t="array" ref="C35">IFERROR(INDEX('Reorder Events'!$A$2:$A$200,ROWS($C$7:C35)),"")</f>
        <v>46148</v>
      </c>
      <c r="D35" t="b" cm="1">
        <f t="array" ref="D35">IFERROR(INDEX('Reorder Events'!$C$2:$C$200,ROWS($D$7:D35)),"")</f>
        <v>1</v>
      </c>
      <c r="E35" t="s">
        <v>15</v>
      </c>
      <c r="F35">
        <f t="shared" si="0"/>
        <v>46209</v>
      </c>
      <c r="G35" cm="1">
        <f t="array" ref="G35">IF(F35="","",_xlfn.LET(_xlpm.dt,F35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-0.66649410256410246</v>
      </c>
    </row>
    <row r="36" spans="1:7">
      <c r="A36">
        <v>35</v>
      </c>
      <c r="B36" t="str" cm="1">
        <f t="array" ref="B36">IFERROR(INDEX('Reorder Events'!$B$2:$B$200,ROWS($B$7:B36)),"")</f>
        <v>SKU PROD C</v>
      </c>
      <c r="C36" s="1" cm="1">
        <f t="array" ref="C36">IFERROR(INDEX('Reorder Events'!$A$2:$A$200,ROWS($C$7:C36)),"")</f>
        <v>46149</v>
      </c>
      <c r="D36" t="b" cm="1">
        <f t="array" ref="D36">IFERROR(INDEX('Reorder Events'!$C$2:$C$200,ROWS($D$7:D36)),"")</f>
        <v>1</v>
      </c>
      <c r="E36" t="s">
        <v>15</v>
      </c>
      <c r="F36">
        <f t="shared" si="0"/>
        <v>46210</v>
      </c>
      <c r="G36" cm="1">
        <f t="array" ref="G36">IF(F36="","",_xlfn.LET(_xlpm.dt,F36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-0.77609410256410261</v>
      </c>
    </row>
    <row r="37" spans="1:7">
      <c r="A37">
        <v>36</v>
      </c>
      <c r="B37" t="str" cm="1">
        <f t="array" ref="B37">IFERROR(INDEX('Reorder Events'!$B$2:$B$200,ROWS($B$7:B37)),"")</f>
        <v>SKU PROD A</v>
      </c>
      <c r="C37" s="1" cm="1">
        <f t="array" ref="C37">IFERROR(INDEX('Reorder Events'!$A$2:$A$200,ROWS($C$7:C37)),"")</f>
        <v>46166</v>
      </c>
      <c r="D37" cm="1">
        <f t="array" ref="D37">IFERROR(INDEX('Reorder Events'!$C$2:$C$200,ROWS($D$7:D37)),"")</f>
        <v>2083</v>
      </c>
      <c r="E37" t="s">
        <v>15</v>
      </c>
      <c r="F37">
        <f t="shared" si="0"/>
        <v>46211</v>
      </c>
      <c r="G37" cm="1">
        <f t="array" ref="G37">IF(F37="","",_xlfn.LET(_xlpm.dt,F37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-0.35949410256410258</v>
      </c>
    </row>
    <row r="38" spans="1:7">
      <c r="A38">
        <v>37</v>
      </c>
      <c r="B38" t="str" cm="1">
        <f t="array" ref="B38">IFERROR(INDEX('Reorder Events'!$B$2:$B$200,ROWS($B$7:B38)),"")</f>
        <v>SKU PROD A</v>
      </c>
      <c r="C38" s="1" cm="1">
        <f t="array" ref="C38">IFERROR(INDEX('Reorder Events'!$A$2:$A$200,ROWS($C$7:C38)),"")</f>
        <v>46167</v>
      </c>
      <c r="D38" cm="1">
        <f t="array" ref="D38">IFERROR(INDEX('Reorder Events'!$C$2:$C$200,ROWS($D$7:D38)),"")</f>
        <v>2083</v>
      </c>
      <c r="E38" t="s">
        <v>15</v>
      </c>
      <c r="F38">
        <f t="shared" si="0"/>
        <v>46211</v>
      </c>
      <c r="G38" cm="1">
        <f t="array" ref="G38">IF(F38="","",_xlfn.LET(_xlpm.dt,F38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-0.35949410256410258</v>
      </c>
    </row>
    <row r="39" spans="1:7">
      <c r="A39">
        <v>38</v>
      </c>
      <c r="B39" t="str" cm="1">
        <f t="array" ref="B39">IFERROR(INDEX('Reorder Events'!$B$2:$B$200,ROWS($B$7:B39)),"")</f>
        <v>SKU PROD A</v>
      </c>
      <c r="C39" s="1" cm="1">
        <f t="array" ref="C39">IFERROR(INDEX('Reorder Events'!$A$2:$A$200,ROWS($C$7:C39)),"")</f>
        <v>46168</v>
      </c>
      <c r="D39" cm="1">
        <f t="array" ref="D39">IFERROR(INDEX('Reorder Events'!$C$2:$C$200,ROWS($D$7:D39)),"")</f>
        <v>2083</v>
      </c>
      <c r="E39" t="s">
        <v>15</v>
      </c>
      <c r="F39">
        <f t="shared" si="0"/>
        <v>46212</v>
      </c>
      <c r="G39" cm="1">
        <f t="array" ref="G39">IF(F39="","",_xlfn.LET(_xlpm.dt,F39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-0.18779410256410262</v>
      </c>
    </row>
    <row r="40" spans="1:7">
      <c r="A40">
        <v>39</v>
      </c>
      <c r="B40" t="str" cm="1">
        <f t="array" ref="B40">IFERROR(INDEX('Reorder Events'!$B$2:$B$200,ROWS($B$7:B40)),"")</f>
        <v>SKU PROD B</v>
      </c>
      <c r="C40" s="1" cm="1">
        <f t="array" ref="C40">IFERROR(INDEX('Reorder Events'!$A$2:$A$200,ROWS($C$7:C40)),"")</f>
        <v>46206</v>
      </c>
      <c r="D40" cm="1">
        <f t="array" ref="D40">IFERROR(INDEX('Reorder Events'!$C$2:$C$200,ROWS($D$7:D40)),"")</f>
        <v>10917</v>
      </c>
      <c r="E40" t="s">
        <v>15</v>
      </c>
      <c r="F40">
        <f t="shared" si="0"/>
        <v>46213</v>
      </c>
      <c r="G40" cm="1">
        <f t="array" ref="G40">IF(F40="","",_xlfn.LET(_xlpm.dt,F40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0.24888589743589734</v>
      </c>
    </row>
    <row r="41" spans="1:7">
      <c r="A41">
        <v>40</v>
      </c>
      <c r="B41" t="str" cm="1">
        <f t="array" ref="B41">IFERROR(INDEX('Reorder Events'!$B$2:$B$200,ROWS($B$7:B41)),"")</f>
        <v>SKU PROD B</v>
      </c>
      <c r="C41" s="1" cm="1">
        <f t="array" ref="C41">IFERROR(INDEX('Reorder Events'!$A$2:$A$200,ROWS($C$7:C41)),"")</f>
        <v>46207</v>
      </c>
      <c r="D41" cm="1">
        <f t="array" ref="D41">IFERROR(INDEX('Reorder Events'!$C$2:$C$200,ROWS($D$7:D41)),"")</f>
        <v>10917</v>
      </c>
      <c r="E41" t="s">
        <v>15</v>
      </c>
      <c r="F41">
        <f t="shared" si="0"/>
        <v>46230</v>
      </c>
      <c r="G41" cm="1">
        <f t="array" ref="G41">IF(F41="","",_xlfn.LET(_xlpm.dt,F41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0.40224217948717944</v>
      </c>
    </row>
    <row r="42" spans="1:7">
      <c r="A42">
        <v>41</v>
      </c>
      <c r="B42" t="str" cm="1">
        <f t="array" ref="B42">IFERROR(INDEX('Reorder Events'!$B$2:$B$200,ROWS($B$7:B42)),"")</f>
        <v>SKU PROD B</v>
      </c>
      <c r="C42" s="1" cm="1">
        <f t="array" ref="C42">IFERROR(INDEX('Reorder Events'!$A$2:$A$200,ROWS($C$7:C42)),"")</f>
        <v>46208</v>
      </c>
      <c r="D42" cm="1">
        <f t="array" ref="D42">IFERROR(INDEX('Reorder Events'!$C$2:$C$200,ROWS($D$7:D42)),"")</f>
        <v>10917</v>
      </c>
      <c r="E42" t="s">
        <v>15</v>
      </c>
      <c r="F42">
        <f t="shared" si="0"/>
        <v>46231</v>
      </c>
      <c r="G42" cm="1">
        <f t="array" ref="G42">IF(F42="","",_xlfn.LET(_xlpm.dt,F42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0.36942538461538466</v>
      </c>
    </row>
    <row r="43" spans="1:7">
      <c r="A43">
        <v>42</v>
      </c>
      <c r="B43" t="str" cm="1">
        <f t="array" ref="B43">IFERROR(INDEX('Reorder Events'!$B$2:$B$200,ROWS($B$7:B43)),"")</f>
        <v>SKU PROD C</v>
      </c>
      <c r="C43" s="1" cm="1">
        <f t="array" ref="C43">IFERROR(INDEX('Reorder Events'!$A$2:$A$200,ROWS($C$7:C43)),"")</f>
        <v>46208</v>
      </c>
      <c r="D43" t="b" cm="1">
        <f t="array" ref="D43">IFERROR(INDEX('Reorder Events'!$C$2:$C$200,ROWS($D$7:D43)),"")</f>
        <v>1</v>
      </c>
      <c r="E43" t="s">
        <v>15</v>
      </c>
      <c r="F43">
        <f t="shared" si="0"/>
        <v>46232</v>
      </c>
      <c r="G43" cm="1">
        <f t="array" ref="G43">IF(F43="","",_xlfn.LET(_xlpm.dt,F43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0.36942538461538466</v>
      </c>
    </row>
    <row r="44" spans="1:7">
      <c r="A44">
        <v>43</v>
      </c>
      <c r="B44" t="str" cm="1">
        <f t="array" ref="B44">IFERROR(INDEX('Reorder Events'!$B$2:$B$200,ROWS($B$7:B44)),"")</f>
        <v>SKU PROD C</v>
      </c>
      <c r="C44" s="1" cm="1">
        <f t="array" ref="C44">IFERROR(INDEX('Reorder Events'!$A$2:$A$200,ROWS($C$7:C44)),"")</f>
        <v>46209</v>
      </c>
      <c r="D44" t="b" cm="1">
        <f t="array" ref="D44">IFERROR(INDEX('Reorder Events'!$C$2:$C$200,ROWS($D$7:D44)),"")</f>
        <v>1</v>
      </c>
      <c r="E44" t="s">
        <v>15</v>
      </c>
      <c r="F44">
        <f t="shared" si="0"/>
        <v>46254</v>
      </c>
      <c r="G44" cm="1">
        <f t="array" ref="G44">IF(F44="","",_xlfn.LET(_xlpm.dt,F44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-0.39228076923076927</v>
      </c>
    </row>
    <row r="45" spans="1:7">
      <c r="A45">
        <v>44</v>
      </c>
      <c r="B45" t="str" cm="1">
        <f t="array" ref="B45">IFERROR(INDEX('Reorder Events'!$B$2:$B$200,ROWS($B$7:B45)),"")</f>
        <v>SKU PROD C</v>
      </c>
      <c r="C45" s="1" cm="1">
        <f t="array" ref="C45">IFERROR(INDEX('Reorder Events'!$A$2:$A$200,ROWS($C$7:C45)),"")</f>
        <v>46210</v>
      </c>
      <c r="D45" t="b" cm="1">
        <f t="array" ref="D45">IFERROR(INDEX('Reorder Events'!$C$2:$C$200,ROWS($D$7:D45)),"")</f>
        <v>1</v>
      </c>
      <c r="E45" t="s">
        <v>15</v>
      </c>
      <c r="F45">
        <f t="shared" si="0"/>
        <v>46255</v>
      </c>
      <c r="G45" cm="1">
        <f t="array" ref="G45">IF(F45="","",_xlfn.LET(_xlpm.dt,F45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-0.39228076923076927</v>
      </c>
    </row>
    <row r="46" spans="1:7">
      <c r="A46">
        <v>45</v>
      </c>
      <c r="B46" t="str" cm="1">
        <f t="array" ref="B46">IFERROR(INDEX('Reorder Events'!$B$2:$B$200,ROWS($B$7:B46)),"")</f>
        <v>SKU PROD A</v>
      </c>
      <c r="C46" s="1" cm="1">
        <f t="array" ref="C46">IFERROR(INDEX('Reorder Events'!$A$2:$A$200,ROWS($C$7:C46)),"")</f>
        <v>46227</v>
      </c>
      <c r="D46" cm="1">
        <f t="array" ref="D46">IFERROR(INDEX('Reorder Events'!$C$2:$C$200,ROWS($D$7:D46)),"")</f>
        <v>2775</v>
      </c>
      <c r="E46" t="s">
        <v>15</v>
      </c>
      <c r="F46">
        <f t="shared" si="0"/>
        <v>46256</v>
      </c>
      <c r="G46" cm="1">
        <f t="array" ref="G46">IF(F46="","",_xlfn.LET(_xlpm.dt,F46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-0.11478076923076935</v>
      </c>
    </row>
    <row r="47" spans="1:7">
      <c r="A47">
        <v>46</v>
      </c>
      <c r="B47" t="str" cm="1">
        <f t="array" ref="B47">IFERROR(INDEX('Reorder Events'!$B$2:$B$200,ROWS($B$7:B47)),"")</f>
        <v>SKU PROD A</v>
      </c>
      <c r="C47" s="1" cm="1">
        <f t="array" ref="C47">IFERROR(INDEX('Reorder Events'!$A$2:$A$200,ROWS($C$7:C47)),"")</f>
        <v>46228</v>
      </c>
      <c r="D47" cm="1">
        <f t="array" ref="D47">IFERROR(INDEX('Reorder Events'!$C$2:$C$200,ROWS($D$7:D47)),"")</f>
        <v>2775</v>
      </c>
      <c r="E47" t="s">
        <v>15</v>
      </c>
      <c r="F47">
        <f t="shared" si="0"/>
        <v>46265</v>
      </c>
      <c r="G47" cm="1">
        <f t="array" ref="G47">IF(F47="","",_xlfn.LET(_xlpm.dt,F47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-0.40477948717948731</v>
      </c>
    </row>
    <row r="48" spans="1:7">
      <c r="A48">
        <v>47</v>
      </c>
      <c r="B48" t="str" cm="1">
        <f t="array" ref="B48">IFERROR(INDEX('Reorder Events'!$B$2:$B$200,ROWS($B$7:B48)),"")</f>
        <v>SKU PROD A</v>
      </c>
      <c r="C48" s="1" cm="1">
        <f t="array" ref="C48">IFERROR(INDEX('Reorder Events'!$A$2:$A$200,ROWS($C$7:C48)),"")</f>
        <v>46229</v>
      </c>
      <c r="D48" cm="1">
        <f t="array" ref="D48">IFERROR(INDEX('Reorder Events'!$C$2:$C$200,ROWS($D$7:D48)),"")</f>
        <v>2775</v>
      </c>
      <c r="E48" t="s">
        <v>15</v>
      </c>
      <c r="F48">
        <f t="shared" si="0"/>
        <v>46266</v>
      </c>
      <c r="G48" cm="1">
        <f t="array" ref="G48">IF(F48="","",_xlfn.LET(_xlpm.dt,F48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-0.12727948717948723</v>
      </c>
    </row>
    <row r="49" spans="1:7">
      <c r="A49">
        <v>48</v>
      </c>
      <c r="B49" t="str" cm="1">
        <f t="array" ref="B49">IFERROR(INDEX('Reorder Events'!$B$2:$B$200,ROWS($B$7:B49)),"")</f>
        <v>SKU PROD D</v>
      </c>
      <c r="C49" s="1" cm="1">
        <f t="array" ref="C49">IFERROR(INDEX('Reorder Events'!$A$2:$A$200,ROWS($C$7:C49)),"")</f>
        <v>46251</v>
      </c>
      <c r="D49" cm="1">
        <f t="array" ref="D49">IFERROR(INDEX('Reorder Events'!$C$2:$C$200,ROWS($D$7:D49)),"")</f>
        <v>3296</v>
      </c>
      <c r="E49" t="s">
        <v>15</v>
      </c>
      <c r="F49">
        <f t="shared" si="0"/>
        <v>46267</v>
      </c>
      <c r="G49" cm="1">
        <f t="array" ref="G49">IF(F49="","",_xlfn.LET(_xlpm.dt,F49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0.28472051282051275</v>
      </c>
    </row>
    <row r="50" spans="1:7">
      <c r="A50">
        <v>49</v>
      </c>
      <c r="B50" t="str" cm="1">
        <f t="array" ref="B50">IFERROR(INDEX('Reorder Events'!$B$2:$B$200,ROWS($B$7:B50)),"")</f>
        <v>SKU PROD D</v>
      </c>
      <c r="C50" s="1" cm="1">
        <f t="array" ref="C50">IFERROR(INDEX('Reorder Events'!$A$2:$A$200,ROWS($C$7:C50)),"")</f>
        <v>46252</v>
      </c>
      <c r="D50" cm="1">
        <f t="array" ref="D50">IFERROR(INDEX('Reorder Events'!$C$2:$C$200,ROWS($D$7:D50)),"")</f>
        <v>3296</v>
      </c>
      <c r="E50" t="s">
        <v>15</v>
      </c>
      <c r="F50">
        <f t="shared" si="0"/>
        <v>46277</v>
      </c>
      <c r="G50" cm="1">
        <f t="array" ref="G50">IF(F50="","",_xlfn.LET(_xlpm.dt,F50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0.16922166666666683</v>
      </c>
    </row>
    <row r="51" spans="1:7">
      <c r="A51">
        <v>50</v>
      </c>
      <c r="B51" t="str" cm="1">
        <f t="array" ref="B51">IFERROR(INDEX('Reorder Events'!$B$2:$B$200,ROWS($B$7:B51)),"")</f>
        <v>SKU PROD D</v>
      </c>
      <c r="C51" s="1" cm="1">
        <f t="array" ref="C51">IFERROR(INDEX('Reorder Events'!$A$2:$A$200,ROWS($C$7:C51)),"")</f>
        <v>46253</v>
      </c>
      <c r="D51" cm="1">
        <f t="array" ref="D51">IFERROR(INDEX('Reorder Events'!$C$2:$C$200,ROWS($D$7:D51)),"")</f>
        <v>3296</v>
      </c>
      <c r="E51" t="s">
        <v>15</v>
      </c>
      <c r="F51">
        <f t="shared" si="0"/>
        <v>46278</v>
      </c>
      <c r="G51" cm="1">
        <f t="array" ref="G51">IF(F51="","",_xlfn.LET(_xlpm.dt,F51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0.56542166666666671</v>
      </c>
    </row>
    <row r="52" spans="1:7">
      <c r="A52">
        <v>51</v>
      </c>
      <c r="B52" t="str" cm="1">
        <f t="array" ref="B52">IFERROR(INDEX('Reorder Events'!$B$2:$B$200,ROWS($B$7:B52)),"")</f>
        <v>SKU PROD E</v>
      </c>
      <c r="C52" s="1" cm="1">
        <f t="array" ref="C52">IFERROR(INDEX('Reorder Events'!$A$2:$A$200,ROWS($C$7:C52)),"")</f>
        <v>46262</v>
      </c>
      <c r="D52" cm="1">
        <f t="array" ref="D52">IFERROR(INDEX('Reorder Events'!$C$2:$C$200,ROWS($D$7:D52)),"")</f>
        <v>3506</v>
      </c>
      <c r="E52" t="s">
        <v>15</v>
      </c>
      <c r="F52">
        <f t="shared" si="0"/>
        <v>46279</v>
      </c>
      <c r="G52" cm="1">
        <f t="array" ref="G52">IF(F52="","",_xlfn.LET(_xlpm.dt,F52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0.74521653846153857</v>
      </c>
    </row>
    <row r="53" spans="1:7">
      <c r="A53">
        <v>52</v>
      </c>
      <c r="B53" t="str" cm="1">
        <f t="array" ref="B53">IFERROR(INDEX('Reorder Events'!$B$2:$B$200,ROWS($B$7:B53)),"")</f>
        <v>SKU PROD E</v>
      </c>
      <c r="C53" s="1" cm="1">
        <f t="array" ref="C53">IFERROR(INDEX('Reorder Events'!$A$2:$A$200,ROWS($C$7:C53)),"")</f>
        <v>46263</v>
      </c>
      <c r="D53" cm="1">
        <f t="array" ref="D53">IFERROR(INDEX('Reorder Events'!$C$2:$C$200,ROWS($D$7:D53)),"")</f>
        <v>3506</v>
      </c>
      <c r="E53" t="s">
        <v>15</v>
      </c>
      <c r="F53">
        <f t="shared" si="0"/>
        <v>46322</v>
      </c>
      <c r="G53" cm="1">
        <f t="array" ref="G53">IF(F53="","",_xlfn.LET(_xlpm.dt,F53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-0.40710269230769225</v>
      </c>
    </row>
    <row r="54" spans="1:7">
      <c r="A54">
        <v>53</v>
      </c>
      <c r="B54" t="str" cm="1">
        <f t="array" ref="B54">IFERROR(INDEX('Reorder Events'!$B$2:$B$200,ROWS($B$7:B54)),"")</f>
        <v>SKU PROD E</v>
      </c>
      <c r="C54" s="1" cm="1">
        <f t="array" ref="C54">IFERROR(INDEX('Reorder Events'!$A$2:$A$200,ROWS($C$7:C54)),"")</f>
        <v>46264</v>
      </c>
      <c r="D54" cm="1">
        <f t="array" ref="D54">IFERROR(INDEX('Reorder Events'!$C$2:$C$200,ROWS($D$7:D54)),"")</f>
        <v>3506</v>
      </c>
      <c r="E54" t="s">
        <v>15</v>
      </c>
      <c r="F54">
        <f t="shared" si="0"/>
        <v>46323</v>
      </c>
      <c r="G54" cm="1">
        <f t="array" ref="G54">IF(F54="","",_xlfn.LET(_xlpm.dt,F54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-0.7008014102564103</v>
      </c>
    </row>
    <row r="55" spans="1:7">
      <c r="A55">
        <v>54</v>
      </c>
      <c r="B55" t="str" cm="1">
        <f t="array" ref="B55">IFERROR(INDEX('Reorder Events'!$B$2:$B$200,ROWS($B$7:B55)),"")</f>
        <v>SKU PROD C</v>
      </c>
      <c r="C55" s="1" cm="1">
        <f t="array" ref="C55">IFERROR(INDEX('Reorder Events'!$A$2:$A$200,ROWS($C$7:C55)),"")</f>
        <v>46274</v>
      </c>
      <c r="D55" t="b" cm="1">
        <f t="array" ref="D55">IFERROR(INDEX('Reorder Events'!$C$2:$C$200,ROWS($D$7:D55)),"")</f>
        <v>1</v>
      </c>
      <c r="E55" t="s">
        <v>15</v>
      </c>
      <c r="F55">
        <f t="shared" si="0"/>
        <v>46324</v>
      </c>
      <c r="G55" cm="1">
        <f t="array" ref="G55">IF(F55="","",_xlfn.LET(_xlpm.dt,F55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-0.7008014102564103</v>
      </c>
    </row>
    <row r="56" spans="1:7">
      <c r="A56">
        <v>55</v>
      </c>
      <c r="B56" t="str" cm="1">
        <f t="array" ref="B56">IFERROR(INDEX('Reorder Events'!$B$2:$B$200,ROWS($B$7:B56)),"")</f>
        <v>SKU PROD C</v>
      </c>
      <c r="C56" s="1" cm="1">
        <f t="array" ref="C56">IFERROR(INDEX('Reorder Events'!$A$2:$A$200,ROWS($C$7:C56)),"")</f>
        <v>46275</v>
      </c>
      <c r="D56" t="b" cm="1">
        <f t="array" ref="D56">IFERROR(INDEX('Reorder Events'!$C$2:$C$200,ROWS($D$7:D56)),"")</f>
        <v>1</v>
      </c>
      <c r="E56" t="s">
        <v>15</v>
      </c>
      <c r="F56">
        <f t="shared" si="0"/>
        <v>46326</v>
      </c>
      <c r="G56" cm="1">
        <f t="array" ref="G56">IF(F56="","",_xlfn.LET(_xlpm.dt,F56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-0.7008014102564103</v>
      </c>
    </row>
    <row r="57" spans="1:7">
      <c r="A57">
        <v>56</v>
      </c>
      <c r="B57" t="str" cm="1">
        <f t="array" ref="B57">IFERROR(INDEX('Reorder Events'!$B$2:$B$200,ROWS($B$7:B57)),"")</f>
        <v>SKU PROD C</v>
      </c>
      <c r="C57" s="1" cm="1">
        <f t="array" ref="C57">IFERROR(INDEX('Reorder Events'!$A$2:$A$200,ROWS($C$7:C57)),"")</f>
        <v>46276</v>
      </c>
      <c r="D57" t="b" cm="1">
        <f t="array" ref="D57">IFERROR(INDEX('Reorder Events'!$C$2:$C$200,ROWS($D$7:D57)),"")</f>
        <v>1</v>
      </c>
      <c r="E57" t="s">
        <v>15</v>
      </c>
      <c r="F57">
        <f t="shared" si="0"/>
        <v>46327</v>
      </c>
      <c r="G57" cm="1">
        <f t="array" ref="G57">IF(F57="","",_xlfn.LET(_xlpm.dt,F57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-0.7008014102564103</v>
      </c>
    </row>
    <row r="58" spans="1:7">
      <c r="A58">
        <v>57</v>
      </c>
      <c r="B58" t="str" cm="1">
        <f t="array" ref="B58">IFERROR(INDEX('Reorder Events'!$B$2:$B$200,ROWS($B$7:B58)),"")</f>
        <v>SKU PROD A</v>
      </c>
      <c r="C58" s="1" cm="1">
        <f t="array" ref="C58">IFERROR(INDEX('Reorder Events'!$A$2:$A$200,ROWS($C$7:C58)),"")</f>
        <v>46319</v>
      </c>
      <c r="D58" cm="1">
        <f t="array" ref="D58">IFERROR(INDEX('Reorder Events'!$C$2:$C$200,ROWS($D$7:D58)),"")</f>
        <v>2536</v>
      </c>
      <c r="E58" t="s">
        <v>15</v>
      </c>
      <c r="F58">
        <f t="shared" si="0"/>
        <v>46328</v>
      </c>
      <c r="G58" cm="1">
        <f t="array" ref="G58">IF(F58="","",_xlfn.LET(_xlpm.dt,F58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-0.44720141025641036</v>
      </c>
    </row>
    <row r="59" spans="1:7">
      <c r="A59">
        <v>58</v>
      </c>
      <c r="B59" t="str" cm="1">
        <f t="array" ref="B59">IFERROR(INDEX('Reorder Events'!$B$2:$B$200,ROWS($B$7:B59)),"")</f>
        <v>SKU PROD A</v>
      </c>
      <c r="C59" s="1" cm="1">
        <f t="array" ref="C59">IFERROR(INDEX('Reorder Events'!$A$2:$A$200,ROWS($C$7:C59)),"")</f>
        <v>46320</v>
      </c>
      <c r="D59" cm="1">
        <f t="array" ref="D59">IFERROR(INDEX('Reorder Events'!$C$2:$C$200,ROWS($D$7:D59)),"")</f>
        <v>2536</v>
      </c>
      <c r="E59" t="s">
        <v>15</v>
      </c>
      <c r="F59">
        <f t="shared" si="0"/>
        <v>46364</v>
      </c>
      <c r="G59" cm="1">
        <f t="array" ref="G59">IF(F59="","",_xlfn.LET(_xlpm.dt,F59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-1.943606153846154</v>
      </c>
    </row>
    <row r="60" spans="1:7">
      <c r="A60">
        <v>59</v>
      </c>
      <c r="B60" t="str" cm="1">
        <f t="array" ref="B60">IFERROR(INDEX('Reorder Events'!$B$2:$B$200,ROWS($B$7:B60)),"")</f>
        <v>SKU PROD A</v>
      </c>
      <c r="C60" s="1" cm="1">
        <f t="array" ref="C60">IFERROR(INDEX('Reorder Events'!$A$2:$A$200,ROWS($C$7:C60)),"")</f>
        <v>46321</v>
      </c>
      <c r="D60" cm="1">
        <f t="array" ref="D60">IFERROR(INDEX('Reorder Events'!$C$2:$C$200,ROWS($D$7:D60)),"")</f>
        <v>2536</v>
      </c>
      <c r="E60" t="s">
        <v>15</v>
      </c>
      <c r="F60">
        <f t="shared" si="0"/>
        <v>46365</v>
      </c>
      <c r="G60" cm="1">
        <f t="array" ref="G60">IF(F60="","",_xlfn.LET(_xlpm.dt,F60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-1.7184061538461539</v>
      </c>
    </row>
    <row r="61" spans="1:7">
      <c r="A61">
        <v>60</v>
      </c>
      <c r="B61" t="str" cm="1">
        <f t="array" ref="B61">IFERROR(INDEX('Reorder Events'!$B$2:$B$200,ROWS($B$7:B61)),"")</f>
        <v>SKU PROD D</v>
      </c>
      <c r="C61" s="1" cm="1">
        <f t="array" ref="C61">IFERROR(INDEX('Reorder Events'!$A$2:$A$200,ROWS($C$7:C61)),"")</f>
        <v>46323</v>
      </c>
      <c r="D61" cm="1">
        <f t="array" ref="D61">IFERROR(INDEX('Reorder Events'!$C$2:$C$200,ROWS($D$7:D61)),"")</f>
        <v>4551</v>
      </c>
      <c r="E61" t="s">
        <v>15</v>
      </c>
      <c r="F61">
        <f t="shared" si="0"/>
        <v>46366</v>
      </c>
      <c r="G61" cm="1">
        <f t="array" ref="G61">IF(F61="","",_xlfn.LET(_xlpm.dt,F61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-1.1495311538461539</v>
      </c>
    </row>
    <row r="62" spans="1:7">
      <c r="A62">
        <v>61</v>
      </c>
      <c r="B62" t="str" cm="1">
        <f t="array" ref="B62">IFERROR(INDEX('Reorder Events'!$B$2:$B$200,ROWS($B$7:B62)),"")</f>
        <v>SKU PROD D</v>
      </c>
      <c r="C62" s="1" cm="1">
        <f t="array" ref="C62">IFERROR(INDEX('Reorder Events'!$A$2:$A$200,ROWS($C$7:C62)),"")</f>
        <v>46324</v>
      </c>
      <c r="D62" cm="1">
        <f t="array" ref="D62">IFERROR(INDEX('Reorder Events'!$C$2:$C$200,ROWS($D$7:D62)),"")</f>
        <v>4551</v>
      </c>
      <c r="E62" t="s">
        <v>15</v>
      </c>
      <c r="F62">
        <f t="shared" si="0"/>
        <v>46387</v>
      </c>
      <c r="G62" cm="1">
        <f t="array" ref="G62">IF(F62="","",_xlfn.LET(_xlpm.dt,F62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-1.3756688461538462</v>
      </c>
    </row>
    <row r="63" spans="1:7">
      <c r="A63">
        <v>62</v>
      </c>
      <c r="B63" t="str" cm="1">
        <f t="array" ref="B63">IFERROR(INDEX('Reorder Events'!$B$2:$B$200,ROWS($B$7:B63)),"")</f>
        <v>SKU PROD D</v>
      </c>
      <c r="C63" s="1" cm="1">
        <f t="array" ref="C63">IFERROR(INDEX('Reorder Events'!$A$2:$A$200,ROWS($C$7:C63)),"")</f>
        <v>46325</v>
      </c>
      <c r="D63" cm="1">
        <f t="array" ref="D63">IFERROR(INDEX('Reorder Events'!$C$2:$C$200,ROWS($D$7:D63)),"")</f>
        <v>4551</v>
      </c>
      <c r="E63" t="s">
        <v>15</v>
      </c>
      <c r="F63">
        <f t="shared" si="0"/>
        <v>46388</v>
      </c>
      <c r="G63" cm="1">
        <f t="array" ref="G63">IF(F63="","",_xlfn.LET(_xlpm.dt,F63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-0.80679384615384619</v>
      </c>
    </row>
    <row r="64" spans="1:7">
      <c r="A64">
        <v>63</v>
      </c>
      <c r="B64" t="str" cm="1">
        <f t="array" ref="B64">IFERROR(INDEX('Reorder Events'!$B$2:$B$200,ROWS($B$7:B64)),"")</f>
        <v>SKU PROD C</v>
      </c>
      <c r="C64" s="1" cm="1">
        <f t="array" ref="C64">IFERROR(INDEX('Reorder Events'!$A$2:$A$200,ROWS($C$7:C64)),"")</f>
        <v>46361</v>
      </c>
      <c r="D64" t="b" cm="1">
        <f t="array" ref="D64">IFERROR(INDEX('Reorder Events'!$C$2:$C$200,ROWS($D$7:D64)),"")</f>
        <v>1</v>
      </c>
      <c r="E64" t="s">
        <v>15</v>
      </c>
      <c r="F64">
        <f t="shared" si="0"/>
        <v>46389</v>
      </c>
      <c r="G64" cm="1">
        <f t="array" ref="G64">IF(F64="","",_xlfn.LET(_xlpm.dt,F64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-0.80679384615384619</v>
      </c>
    </row>
    <row r="65" spans="1:7">
      <c r="A65">
        <v>64</v>
      </c>
      <c r="B65" t="str" cm="1">
        <f t="array" ref="B65">IFERROR(INDEX('Reorder Events'!$B$2:$B$200,ROWS($B$7:B65)),"")</f>
        <v>SKU PROD C</v>
      </c>
      <c r="C65" s="1" cm="1">
        <f t="array" ref="C65">IFERROR(INDEX('Reorder Events'!$A$2:$A$200,ROWS($C$7:C65)),"")</f>
        <v>46362</v>
      </c>
      <c r="D65" t="b" cm="1">
        <f t="array" ref="D65">IFERROR(INDEX('Reorder Events'!$C$2:$C$200,ROWS($D$7:D65)),"")</f>
        <v>1</v>
      </c>
      <c r="E65" t="s">
        <v>15</v>
      </c>
      <c r="F65">
        <f t="shared" si="0"/>
        <v>3</v>
      </c>
      <c r="G65" cm="1">
        <f t="array" ref="G65">IF(F65="","",_xlfn.LET(_xlpm.dt,F65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1.2087820512820513</v>
      </c>
    </row>
    <row r="66" spans="1:7">
      <c r="A66">
        <v>65</v>
      </c>
      <c r="B66" t="str" cm="1">
        <f t="array" ref="B66">IFERROR(INDEX('Reorder Events'!$B$2:$B$200,ROWS($B$7:B66)),"")</f>
        <v>SKU PROD C</v>
      </c>
      <c r="C66" s="1" cm="1">
        <f t="array" ref="C66">IFERROR(INDEX('Reorder Events'!$A$2:$A$200,ROWS($C$7:C66)),"")</f>
        <v>46363</v>
      </c>
      <c r="D66" t="b" cm="1">
        <f t="array" ref="D66">IFERROR(INDEX('Reorder Events'!$C$2:$C$200,ROWS($D$7:D66)),"")</f>
        <v>1</v>
      </c>
      <c r="E66" t="s">
        <v>15</v>
      </c>
      <c r="F66" t="str">
        <f t="shared" si="0"/>
        <v/>
      </c>
      <c r="G66" t="str" cm="1">
        <f t="array" ref="G66">IF(F66="","",_xlfn.LET(_xlpm.dt,F66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  <row r="67" spans="1:7">
      <c r="A67">
        <v>66</v>
      </c>
      <c r="B67" t="str" cm="1">
        <f t="array" ref="B67">IFERROR(INDEX('Reorder Events'!$B$2:$B$200,ROWS($B$7:B67)),"")</f>
        <v>SKU PROD E</v>
      </c>
      <c r="C67" s="1" cm="1">
        <f t="array" ref="C67">IFERROR(INDEX('Reorder Events'!$A$2:$A$200,ROWS($C$7:C67)),"")</f>
        <v>46384</v>
      </c>
      <c r="D67" cm="1">
        <f t="array" ref="D67">IFERROR(INDEX('Reorder Events'!$C$2:$C$200,ROWS($D$7:D67)),"")</f>
        <v>2628</v>
      </c>
      <c r="E67" t="s">
        <v>15</v>
      </c>
      <c r="F67" t="str">
        <f t="shared" ref="F67:F70" si="1">IF(C72="","",C72+3)</f>
        <v/>
      </c>
      <c r="G67" t="str" cm="1">
        <f t="array" ref="G67">IF(F67="","",_xlfn.LET(_xlpm.dt,F67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  <row r="68" spans="1:7">
      <c r="A68">
        <v>67</v>
      </c>
      <c r="B68" t="str" cm="1">
        <f t="array" ref="B68">IFERROR(INDEX('Reorder Events'!$B$2:$B$200,ROWS($B$7:B68)),"")</f>
        <v>SKU PROD E</v>
      </c>
      <c r="C68" s="1" cm="1">
        <f t="array" ref="C68">IFERROR(INDEX('Reorder Events'!$A$2:$A$200,ROWS($C$7:C68)),"")</f>
        <v>46385</v>
      </c>
      <c r="D68" cm="1">
        <f t="array" ref="D68">IFERROR(INDEX('Reorder Events'!$C$2:$C$200,ROWS($D$7:D68)),"")</f>
        <v>2628</v>
      </c>
      <c r="E68" t="s">
        <v>15</v>
      </c>
      <c r="F68" t="str">
        <f t="shared" si="1"/>
        <v/>
      </c>
      <c r="G68" t="str" cm="1">
        <f t="array" ref="G68">IF(F68="","",_xlfn.LET(_xlpm.dt,F68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  <row r="69" spans="1:7">
      <c r="A69">
        <v>68</v>
      </c>
      <c r="B69" t="str" cm="1">
        <f t="array" ref="B69">IFERROR(INDEX('Reorder Events'!$B$2:$B$200,ROWS($B$7:B69)),"")</f>
        <v>SKU PROD E</v>
      </c>
      <c r="C69" s="1" cm="1">
        <f t="array" ref="C69">IFERROR(INDEX('Reorder Events'!$A$2:$A$200,ROWS($C$7:C69)),"")</f>
        <v>46386</v>
      </c>
      <c r="D69" cm="1">
        <f t="array" ref="D69">IFERROR(INDEX('Reorder Events'!$C$2:$C$200,ROWS($D$7:D69)),"")</f>
        <v>2628</v>
      </c>
      <c r="E69" t="s">
        <v>15</v>
      </c>
      <c r="F69" t="str">
        <f t="shared" si="1"/>
        <v/>
      </c>
      <c r="G69" t="str" cm="1">
        <f t="array" ref="G69">IF(F69="","",_xlfn.LET(_xlpm.dt,F69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  <row r="70" spans="1:7">
      <c r="A70">
        <v>69</v>
      </c>
      <c r="B70" cm="1">
        <f t="array" ref="B70">IFERROR(INDEX('Reorder Events'!$B$2:$B$200,ROWS($B$7:B70)),"")</f>
        <v>0</v>
      </c>
      <c r="C70" s="1" cm="1">
        <f t="array" ref="C70">IFERROR(INDEX('Reorder Events'!$A$2:$A$200,ROWS($C$7:C70)),"")</f>
        <v>0</v>
      </c>
      <c r="D70" cm="1">
        <f t="array" ref="D70">IFERROR(INDEX('Reorder Events'!$C$2:$C$200,ROWS($D$7:D70)),"")</f>
        <v>0</v>
      </c>
      <c r="E70" t="s">
        <v>15</v>
      </c>
      <c r="F70" t="str">
        <f t="shared" si="1"/>
        <v/>
      </c>
      <c r="G70" t="str" cm="1">
        <f t="array" ref="G70">IF(F70="","",_xlfn.LET(_xlpm.dt,F70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4FF-9AC1-4F59-A0B6-0BC5189A2A3A}">
  <dimension ref="A1:F7"/>
  <sheetViews>
    <sheetView topLeftCell="C1" zoomScale="115" zoomScaleNormal="115" workbookViewId="0">
      <selection activeCell="F4" sqref="F4"/>
    </sheetView>
  </sheetViews>
  <sheetFormatPr defaultRowHeight="14.45"/>
  <cols>
    <col min="1" max="1" width="13.85546875" customWidth="1"/>
    <col min="2" max="2" width="18.28515625" customWidth="1"/>
    <col min="3" max="3" width="12.28515625" customWidth="1"/>
    <col min="4" max="4" width="15.140625" customWidth="1"/>
    <col min="5" max="5" width="13.85546875" customWidth="1"/>
    <col min="6" max="6" width="12.7109375" customWidth="1"/>
    <col min="8" max="8" width="14.7109375" customWidth="1"/>
    <col min="9" max="9" width="23.28515625" customWidth="1"/>
  </cols>
  <sheetData>
    <row r="1" spans="1:6">
      <c r="A1" t="s">
        <v>16</v>
      </c>
      <c r="D1" t="s">
        <v>17</v>
      </c>
    </row>
    <row r="2" spans="1:6">
      <c r="A2" t="s">
        <v>18</v>
      </c>
      <c r="B2" t="s">
        <v>19</v>
      </c>
      <c r="D2" t="s">
        <v>18</v>
      </c>
      <c r="E2" t="s">
        <v>20</v>
      </c>
      <c r="F2" t="s">
        <v>21</v>
      </c>
    </row>
    <row r="3" spans="1:6">
      <c r="A3" t="s">
        <v>4</v>
      </c>
      <c r="B3">
        <v>10000</v>
      </c>
      <c r="D3" t="s">
        <v>4</v>
      </c>
      <c r="E3" cm="1">
        <f t="array" ref="E3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678</v>
      </c>
      <c r="F3" cm="1">
        <f t="array" ref="F3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2632</v>
      </c>
    </row>
    <row r="4" spans="1:6">
      <c r="A4" t="s">
        <v>5</v>
      </c>
      <c r="B4">
        <v>25000</v>
      </c>
      <c r="D4" t="s">
        <v>5</v>
      </c>
      <c r="E4" cm="1">
        <f t="array" ref="E4">_xlfn.LET(_xlpm.sku,$D4,_xlpm.dates,_xlfn._xlws.FILTER('Demand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376</v>
      </c>
      <c r="F4" cm="1">
        <f t="array" ref="F4">_xlfn.LET(_xlpm.sku,$D4,_xlpm.dates,_xlfn._xlws.FILTER('Demand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6570</v>
      </c>
    </row>
    <row r="5" spans="1:6">
      <c r="A5" t="s">
        <v>6</v>
      </c>
      <c r="B5">
        <v>15000</v>
      </c>
      <c r="D5" t="s">
        <v>6</v>
      </c>
      <c r="E5" cm="1">
        <f t="array" ref="E5">_xlfn.LET(_xlpm.sku,$D5,_xlpm.dates,_xlfn._xlws.FILTER('Demand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358</v>
      </c>
      <c r="F5" cm="1">
        <f t="array" ref="F5">_xlfn.LET(_xlpm.sku,$D5,_xlpm.dates,_xlfn._xlws.FILTER('Demand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1537</v>
      </c>
    </row>
    <row r="6" spans="1:6">
      <c r="A6" t="s">
        <v>7</v>
      </c>
      <c r="B6">
        <v>8000</v>
      </c>
      <c r="D6" t="s">
        <v>7</v>
      </c>
      <c r="E6" cm="1">
        <f t="array" ref="E6">_xlfn.LET(_xlpm.sku,$D6,_xlpm.dates,_xlfn._xlws.FILTER('Demand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430</v>
      </c>
      <c r="F6" cm="1">
        <f t="array" ref="F6">_xlfn.LET(_xlpm.sku,$D6,_xlpm.dates,_xlfn._xlws.FILTER('Demand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3274</v>
      </c>
    </row>
    <row r="7" spans="1:6">
      <c r="A7" t="s">
        <v>8</v>
      </c>
      <c r="B7">
        <v>19500</v>
      </c>
      <c r="D7" t="s">
        <v>8</v>
      </c>
      <c r="E7" cm="1">
        <f t="array" ref="E7">_xlfn.LET(_xlpm.sku,$D7,_xlpm.dates,_xlfn._xlws.FILTER('Demand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250</v>
      </c>
      <c r="F7" cm="1">
        <f t="array" ref="F7">_xlfn.LET(_xlpm.sku,$D7,_xlpm.dates,_xlfn._xlws.FILTER('Demand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2183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0D52-2F7D-41C3-ABEF-FB416905EE6A}">
  <dimension ref="A1:U366"/>
  <sheetViews>
    <sheetView topLeftCell="N1" workbookViewId="0">
      <selection activeCell="T9" sqref="T9"/>
    </sheetView>
  </sheetViews>
  <sheetFormatPr defaultRowHeight="15"/>
  <cols>
    <col min="1" max="1" width="11.140625" bestFit="1" customWidth="1"/>
    <col min="5" max="5" width="10.140625" bestFit="1" customWidth="1"/>
    <col min="7" max="7" width="11.7109375" bestFit="1" customWidth="1"/>
  </cols>
  <sheetData>
    <row r="1" spans="1:21">
      <c r="A1" t="s">
        <v>11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4</v>
      </c>
      <c r="R1" t="s">
        <v>5</v>
      </c>
      <c r="S1" t="s">
        <v>6</v>
      </c>
      <c r="T1" t="s">
        <v>7</v>
      </c>
      <c r="U1" t="s">
        <v>8</v>
      </c>
    </row>
    <row r="2" spans="1:21">
      <c r="A2" s="5">
        <f>DATE(2026,1,1)</f>
        <v>46023</v>
      </c>
      <c r="B2">
        <f>SUMIFS('Demand Projection'!$D$2:$D$169,'Demand Projection'!$B$2:$B$169,B$1,'Demand Projection'!$C$2:$C$169,$A2)</f>
        <v>0</v>
      </c>
      <c r="C2">
        <f>SUMIFS('Demand Projection'!$D$2:$D$169,'Demand Projection'!$B$2:$B$169,C$1,'Demand Projection'!$C$2:$C$169,$A2)</f>
        <v>0</v>
      </c>
      <c r="D2">
        <f>SUMIFS('Demand Projection'!$D$2:$D$169,'Demand Projection'!$B$2:$B$169,D$1,'Demand Projection'!$C$2:$C$169,$A2)</f>
        <v>0</v>
      </c>
      <c r="E2">
        <f>SUMIFS('Demand Projection'!$D$2:$D$169,'Demand Projection'!$B$2:$B$169,E$1,'Demand Projection'!$C$2:$C$169,$A2)</f>
        <v>0</v>
      </c>
      <c r="F2">
        <f>SUMIFS('Demand Projection'!$D$2:$D$169,'Demand Projection'!$B$2:$B$169,F$1,'Demand Projection'!$C$2:$C$169,$A2)</f>
        <v>0</v>
      </c>
      <c r="G2">
        <f>_xlfn.XLOOKUP(G$1,Capacity!$D$3:$D$7,Warehouse!$D$2:$D$6)</f>
        <v>2200</v>
      </c>
      <c r="H2">
        <f>_xlfn.XLOOKUP(H$1,Capacity!$D$3:$D$7,Warehouse!$D$2:$D$6)</f>
        <v>8000</v>
      </c>
      <c r="I2">
        <f>_xlfn.XLOOKUP(I$1,Capacity!$D$3:$D$7,Warehouse!$D$2:$D$6)</f>
        <v>1700</v>
      </c>
      <c r="J2">
        <f>_xlfn.XLOOKUP(J$1,Capacity!$D$3:$D$7,Warehouse!$D$2:$D$6)</f>
        <v>3500</v>
      </c>
      <c r="K2">
        <f>_xlfn.XLOOKUP(K$1,Capacity!$D$3:$D$7,Warehouse!$D$2:$D$6)</f>
        <v>2300</v>
      </c>
      <c r="L2">
        <f>IF(Q2&lt;_xlfn.XLOOKUP(L$1,Capacity!$D$3:$D$7,Capacity!$E$3:$E$7),_xlfn.XLOOKUP(L$1,Capacity!$D$3:$D$7,Capacity!$F$3:$F$7)-Q2,0)</f>
        <v>0</v>
      </c>
      <c r="M2">
        <f>IF(R2&lt;_xlfn.XLOOKUP(M$1,Capacity!$D$3:$D$7,Capacity!$E$3:$E$7),_xlfn.XLOOKUP(M$1,Capacity!$D$3:$D$7,Capacity!$F$3:$F$7)-R2,0)</f>
        <v>0</v>
      </c>
      <c r="N2">
        <f>IF(S2&lt;_xlfn.XLOOKUP(N$1,Capacity!$D$3:$D$7,Capacity!$E$3:$E$7),_xlfn.XLOOKUP(N$1,Capacity!$D$3:$D$7,Capacity!$F$3:$F$7)-S2,0)</f>
        <v>0</v>
      </c>
      <c r="O2">
        <f>IF(T2&lt;_xlfn.XLOOKUP(O$1,Capacity!$D$3:$D$7,Capacity!$E$3:$E$7),_xlfn.XLOOKUP(O$1,Capacity!$D$3:$D$7,Capacity!$F$3:$F$7)-T2,0)</f>
        <v>0</v>
      </c>
      <c r="P2">
        <f>IF(U2&lt;_xlfn.XLOOKUP(P$1,Capacity!$D$3:$D$7,Capacity!$E$3:$E$7),_xlfn.XLOOKUP(P$1,Capacity!$D$3:$D$7,Capacity!$F$3:$F$7)-U2,0)</f>
        <v>0</v>
      </c>
      <c r="Q2">
        <f>G2-B2</f>
        <v>2200</v>
      </c>
      <c r="R2">
        <f t="shared" ref="R2:U2" si="0">H2-C2</f>
        <v>8000</v>
      </c>
      <c r="S2">
        <f t="shared" si="0"/>
        <v>1700</v>
      </c>
      <c r="T2">
        <f t="shared" si="0"/>
        <v>3500</v>
      </c>
      <c r="U2">
        <f t="shared" si="0"/>
        <v>2300</v>
      </c>
    </row>
    <row r="3" spans="1:21">
      <c r="A3" s="5">
        <f>A2+1</f>
        <v>46024</v>
      </c>
      <c r="B3">
        <f>SUMIFS('Demand Projection'!$D$2:$D$169,'Demand Projection'!$B$2:$B$169,B$1,'Demand Projection'!$C$2:$C$169,$A3)</f>
        <v>0</v>
      </c>
      <c r="C3">
        <f>SUMIFS('Demand Projection'!$D$2:$D$169,'Demand Projection'!$B$2:$B$169,C$1,'Demand Projection'!$C$2:$C$169,$A3)</f>
        <v>0</v>
      </c>
      <c r="D3">
        <f>SUMIFS('Demand Projection'!$D$2:$D$169,'Demand Projection'!$B$2:$B$169,D$1,'Demand Projection'!$C$2:$C$169,$A3)</f>
        <v>0</v>
      </c>
      <c r="E3">
        <f>SUMIFS('Demand Projection'!$D$2:$D$169,'Demand Projection'!$B$2:$B$169,E$1,'Demand Projection'!$C$2:$C$169,$A3)</f>
        <v>0</v>
      </c>
      <c r="F3">
        <f>SUMIFS('Demand Projection'!$D$2:$D$169,'Demand Projection'!$B$2:$B$169,F$1,'Demand Projection'!$C$2:$C$169,$A3)</f>
        <v>0</v>
      </c>
      <c r="G3" cm="1">
        <f t="array" ref="G3">Q2+IF(ROW()-3&lt;2,0,INDEX(L:L,ROW()-3))</f>
        <v>2200</v>
      </c>
      <c r="H3" cm="1">
        <f t="array" ref="H3">R2+IF(ROW()-3&lt;2,0,INDEX(M:M,ROW()-3))</f>
        <v>8000</v>
      </c>
      <c r="I3" cm="1">
        <f t="array" ref="I3">S2+IF(ROW()-3&lt;2,0,INDEX(N:N,ROW()-3))</f>
        <v>1700</v>
      </c>
      <c r="J3" cm="1">
        <f t="array" ref="J3">T2+IF(ROW()-3&lt;2,0,INDEX(O:O,ROW()-3))</f>
        <v>3500</v>
      </c>
      <c r="K3" cm="1">
        <f t="array" ref="K3">U2+IF(ROW()-3&lt;2,0,INDEX(P:P,ROW()-3))</f>
        <v>2300</v>
      </c>
      <c r="L3">
        <f>IF(Q3&lt;_xlfn.XLOOKUP(L$1,Capacity!$D$3:$D$7,Capacity!$E$3:$E$7),_xlfn.XLOOKUP(L$1,Capacity!$D$3:$D$7,Capacity!$F$3:$F$7)-Q3,0)</f>
        <v>0</v>
      </c>
      <c r="M3">
        <f>IF(R3&lt;_xlfn.XLOOKUP(M$1,Capacity!$D$3:$D$7,Capacity!$E$3:$E$7),_xlfn.XLOOKUP(M$1,Capacity!$D$3:$D$7,Capacity!$F$3:$F$7)-R3,0)</f>
        <v>0</v>
      </c>
      <c r="N3">
        <f>IF(S3&lt;_xlfn.XLOOKUP(N$1,Capacity!$D$3:$D$7,Capacity!$E$3:$E$7),_xlfn.XLOOKUP(N$1,Capacity!$D$3:$D$7,Capacity!$F$3:$F$7)-S3,0)</f>
        <v>0</v>
      </c>
      <c r="O3">
        <f>IF(T3&lt;_xlfn.XLOOKUP(O$1,Capacity!$D$3:$D$7,Capacity!$E$3:$E$7),_xlfn.XLOOKUP(O$1,Capacity!$D$3:$D$7,Capacity!$F$3:$F$7)-T3,0)</f>
        <v>0</v>
      </c>
      <c r="P3">
        <f>IF(U3&lt;_xlfn.XLOOKUP(P$1,Capacity!$D$3:$D$7,Capacity!$E$3:$E$7),_xlfn.XLOOKUP(P$1,Capacity!$D$3:$D$7,Capacity!$F$3:$F$7)-U3,0)</f>
        <v>0</v>
      </c>
      <c r="Q3">
        <f t="shared" ref="Q3:Q66" si="1">G3-B3</f>
        <v>2200</v>
      </c>
      <c r="R3">
        <f t="shared" ref="R3:R66" si="2">H3-C3</f>
        <v>8000</v>
      </c>
      <c r="S3">
        <f t="shared" ref="S3:S66" si="3">I3-D3</f>
        <v>1700</v>
      </c>
      <c r="T3">
        <f t="shared" ref="T3:T66" si="4">J3-E3</f>
        <v>3500</v>
      </c>
      <c r="U3">
        <f t="shared" ref="U3:U66" si="5">K3-F3</f>
        <v>2300</v>
      </c>
    </row>
    <row r="4" spans="1:21">
      <c r="A4" s="5">
        <f>A3+1</f>
        <v>46025</v>
      </c>
      <c r="B4">
        <f>SUMIFS('Demand Projection'!$D$2:$D$169,'Demand Projection'!$B$2:$B$169,B$1,'Demand Projection'!$C$2:$C$169,$A4)</f>
        <v>1000</v>
      </c>
      <c r="C4">
        <f>SUMIFS('Demand Projection'!$D$2:$D$169,'Demand Projection'!$B$2:$B$169,C$1,'Demand Projection'!$C$2:$C$169,$A4)</f>
        <v>6000</v>
      </c>
      <c r="D4">
        <f>SUMIFS('Demand Projection'!$D$2:$D$169,'Demand Projection'!$B$2:$B$169,D$1,'Demand Projection'!$C$2:$C$169,$A4)</f>
        <v>0</v>
      </c>
      <c r="E4">
        <f>SUMIFS('Demand Projection'!$D$2:$D$169,'Demand Projection'!$B$2:$B$169,E$1,'Demand Projection'!$C$2:$C$169,$A4)</f>
        <v>0</v>
      </c>
      <c r="F4">
        <f>SUMIFS('Demand Projection'!$D$2:$D$169,'Demand Projection'!$B$2:$B$169,F$1,'Demand Projection'!$C$2:$C$169,$A4)</f>
        <v>0</v>
      </c>
      <c r="G4" cm="1">
        <f t="array" ref="G4">Q3+IF(ROW()-3&lt;2,0,INDEX(L:L,ROW()-3))</f>
        <v>2200</v>
      </c>
      <c r="H4" cm="1">
        <f t="array" ref="H4">R3+IF(ROW()-3&lt;2,0,INDEX(M:M,ROW()-3))</f>
        <v>8000</v>
      </c>
      <c r="I4" cm="1">
        <f t="array" ref="I4">S3+IF(ROW()-3&lt;2,0,INDEX(N:N,ROW()-3))</f>
        <v>1700</v>
      </c>
      <c r="J4" cm="1">
        <f t="array" ref="J4">T3+IF(ROW()-3&lt;2,0,INDEX(O:O,ROW()-3))</f>
        <v>3500</v>
      </c>
      <c r="K4" cm="1">
        <f t="array" ref="K4">U3+IF(ROW()-3&lt;2,0,INDEX(P:P,ROW()-3))</f>
        <v>2300</v>
      </c>
      <c r="L4">
        <f>IF(Q4&lt;_xlfn.XLOOKUP(L$1,Capacity!$D$3:$D$7,Capacity!$E$3:$E$7),_xlfn.XLOOKUP(L$1,Capacity!$D$3:$D$7,Capacity!$F$3:$F$7)-Q4,0)</f>
        <v>0</v>
      </c>
      <c r="M4">
        <f>IF(R4&lt;_xlfn.XLOOKUP(M$1,Capacity!$D$3:$D$7,Capacity!$E$3:$E$7),_xlfn.XLOOKUP(M$1,Capacity!$D$3:$D$7,Capacity!$F$3:$F$7)-R4,0)</f>
        <v>0</v>
      </c>
      <c r="N4">
        <f>IF(S4&lt;_xlfn.XLOOKUP(N$1,Capacity!$D$3:$D$7,Capacity!$E$3:$E$7),_xlfn.XLOOKUP(N$1,Capacity!$D$3:$D$7,Capacity!$F$3:$F$7)-S4,0)</f>
        <v>0</v>
      </c>
      <c r="O4">
        <f>IF(T4&lt;_xlfn.XLOOKUP(O$1,Capacity!$D$3:$D$7,Capacity!$E$3:$E$7),_xlfn.XLOOKUP(O$1,Capacity!$D$3:$D$7,Capacity!$F$3:$F$7)-T4,0)</f>
        <v>0</v>
      </c>
      <c r="P4">
        <f>IF(U4&lt;_xlfn.XLOOKUP(P$1,Capacity!$D$3:$D$7,Capacity!$E$3:$E$7),_xlfn.XLOOKUP(P$1,Capacity!$D$3:$D$7,Capacity!$F$3:$F$7)-U4,0)</f>
        <v>0</v>
      </c>
      <c r="Q4">
        <f t="shared" si="1"/>
        <v>1200</v>
      </c>
      <c r="R4">
        <f t="shared" si="2"/>
        <v>2000</v>
      </c>
      <c r="S4">
        <f t="shared" si="3"/>
        <v>1700</v>
      </c>
      <c r="T4">
        <f t="shared" si="4"/>
        <v>3500</v>
      </c>
      <c r="U4">
        <f t="shared" si="5"/>
        <v>2300</v>
      </c>
    </row>
    <row r="5" spans="1:21">
      <c r="A5" s="5">
        <f t="shared" ref="A5:A68" si="6">A4+1</f>
        <v>46026</v>
      </c>
      <c r="B5">
        <f>SUMIFS('Demand Projection'!$D$2:$D$169,'Demand Projection'!$B$2:$B$169,B$1,'Demand Projection'!$C$2:$C$169,$A5)</f>
        <v>400</v>
      </c>
      <c r="C5">
        <f>SUMIFS('Demand Projection'!$D$2:$D$169,'Demand Projection'!$B$2:$B$169,C$1,'Demand Projection'!$C$2:$C$169,$A5)</f>
        <v>0</v>
      </c>
      <c r="D5">
        <f>SUMIFS('Demand Projection'!$D$2:$D$169,'Demand Projection'!$B$2:$B$169,D$1,'Demand Projection'!$C$2:$C$169,$A5)</f>
        <v>0</v>
      </c>
      <c r="E5">
        <f>SUMIFS('Demand Projection'!$D$2:$D$169,'Demand Projection'!$B$2:$B$169,E$1,'Demand Projection'!$C$2:$C$169,$A5)</f>
        <v>0</v>
      </c>
      <c r="F5">
        <f>SUMIFS('Demand Projection'!$D$2:$D$169,'Demand Projection'!$B$2:$B$169,F$1,'Demand Projection'!$C$2:$C$169,$A5)</f>
        <v>0</v>
      </c>
      <c r="G5" cm="1">
        <f t="array" ref="G5">Q4+IF(ROW()-3&lt;2,0,INDEX(L:L,ROW()-3))</f>
        <v>1200</v>
      </c>
      <c r="H5" cm="1">
        <f t="array" ref="H5">R4+IF(ROW()-3&lt;2,0,INDEX(M:M,ROW()-3))</f>
        <v>2000</v>
      </c>
      <c r="I5" cm="1">
        <f t="array" ref="I5">S4+IF(ROW()-3&lt;2,0,INDEX(N:N,ROW()-3))</f>
        <v>1700</v>
      </c>
      <c r="J5" cm="1">
        <f t="array" ref="J5">T4+IF(ROW()-3&lt;2,0,INDEX(O:O,ROW()-3))</f>
        <v>3500</v>
      </c>
      <c r="K5" cm="1">
        <f t="array" ref="K5">U4+IF(ROW()-3&lt;2,0,INDEX(P:P,ROW()-3))</f>
        <v>2300</v>
      </c>
      <c r="L5">
        <f>IF(Q5&lt;_xlfn.XLOOKUP(L$1,Capacity!$D$3:$D$7,Capacity!$E$3:$E$7),_xlfn.XLOOKUP(L$1,Capacity!$D$3:$D$7,Capacity!$F$3:$F$7)-Q5,0)</f>
        <v>0</v>
      </c>
      <c r="M5">
        <f>IF(R5&lt;_xlfn.XLOOKUP(M$1,Capacity!$D$3:$D$7,Capacity!$E$3:$E$7),_xlfn.XLOOKUP(M$1,Capacity!$D$3:$D$7,Capacity!$F$3:$F$7)-R5,0)</f>
        <v>0</v>
      </c>
      <c r="N5">
        <f>IF(S5&lt;_xlfn.XLOOKUP(N$1,Capacity!$D$3:$D$7,Capacity!$E$3:$E$7),_xlfn.XLOOKUP(N$1,Capacity!$D$3:$D$7,Capacity!$F$3:$F$7)-S5,0)</f>
        <v>0</v>
      </c>
      <c r="O5">
        <f>IF(T5&lt;_xlfn.XLOOKUP(O$1,Capacity!$D$3:$D$7,Capacity!$E$3:$E$7),_xlfn.XLOOKUP(O$1,Capacity!$D$3:$D$7,Capacity!$F$3:$F$7)-T5,0)</f>
        <v>0</v>
      </c>
      <c r="P5">
        <f>IF(U5&lt;_xlfn.XLOOKUP(P$1,Capacity!$D$3:$D$7,Capacity!$E$3:$E$7),_xlfn.XLOOKUP(P$1,Capacity!$D$3:$D$7,Capacity!$F$3:$F$7)-U5,0)</f>
        <v>0</v>
      </c>
      <c r="Q5">
        <f t="shared" si="1"/>
        <v>800</v>
      </c>
      <c r="R5">
        <f t="shared" si="2"/>
        <v>2000</v>
      </c>
      <c r="S5">
        <f t="shared" si="3"/>
        <v>1700</v>
      </c>
      <c r="T5">
        <f t="shared" si="4"/>
        <v>3500</v>
      </c>
      <c r="U5">
        <f t="shared" si="5"/>
        <v>2300</v>
      </c>
    </row>
    <row r="6" spans="1:21">
      <c r="A6" s="5">
        <f t="shared" si="6"/>
        <v>46027</v>
      </c>
      <c r="B6">
        <f>SUMIFS('Demand Projection'!$D$2:$D$169,'Demand Projection'!$B$2:$B$169,B$1,'Demand Projection'!$C$2:$C$169,$A6)</f>
        <v>0</v>
      </c>
      <c r="C6">
        <f>SUMIFS('Demand Projection'!$D$2:$D$169,'Demand Projection'!$B$2:$B$169,C$1,'Demand Projection'!$C$2:$C$169,$A6)</f>
        <v>0</v>
      </c>
      <c r="D6">
        <f>SUMIFS('Demand Projection'!$D$2:$D$169,'Demand Projection'!$B$2:$B$169,D$1,'Demand Projection'!$C$2:$C$169,$A6)</f>
        <v>900</v>
      </c>
      <c r="E6">
        <f>SUMIFS('Demand Projection'!$D$2:$D$169,'Demand Projection'!$B$2:$B$169,E$1,'Demand Projection'!$C$2:$C$169,$A6)</f>
        <v>0</v>
      </c>
      <c r="F6">
        <f>SUMIFS('Demand Projection'!$D$2:$D$169,'Demand Projection'!$B$2:$B$169,F$1,'Demand Projection'!$C$2:$C$169,$A6)</f>
        <v>0</v>
      </c>
      <c r="G6" cm="1">
        <f t="array" ref="G6">Q5+IF(ROW()-3&lt;2,0,INDEX(L:L,ROW()-3))</f>
        <v>800</v>
      </c>
      <c r="H6" cm="1">
        <f t="array" ref="H6">R5+IF(ROW()-3&lt;2,0,INDEX(M:M,ROW()-3))</f>
        <v>2000</v>
      </c>
      <c r="I6" cm="1">
        <f t="array" ref="I6">S5+IF(ROW()-3&lt;2,0,INDEX(N:N,ROW()-3))</f>
        <v>1700</v>
      </c>
      <c r="J6" cm="1">
        <f t="array" ref="J6">T5+IF(ROW()-3&lt;2,0,INDEX(O:O,ROW()-3))</f>
        <v>3500</v>
      </c>
      <c r="K6" cm="1">
        <f t="array" ref="K6">U5+IF(ROW()-3&lt;2,0,INDEX(P:P,ROW()-3))</f>
        <v>2300</v>
      </c>
      <c r="L6">
        <f>IF(Q6&lt;_xlfn.XLOOKUP(L$1,Capacity!$D$3:$D$7,Capacity!$E$3:$E$7),_xlfn.XLOOKUP(L$1,Capacity!$D$3:$D$7,Capacity!$F$3:$F$7)-Q6,0)</f>
        <v>0</v>
      </c>
      <c r="M6">
        <f>IF(R6&lt;_xlfn.XLOOKUP(M$1,Capacity!$D$3:$D$7,Capacity!$E$3:$E$7),_xlfn.XLOOKUP(M$1,Capacity!$D$3:$D$7,Capacity!$F$3:$F$7)-R6,0)</f>
        <v>0</v>
      </c>
      <c r="N6">
        <f>IF(S6&lt;_xlfn.XLOOKUP(N$1,Capacity!$D$3:$D$7,Capacity!$E$3:$E$7),_xlfn.XLOOKUP(N$1,Capacity!$D$3:$D$7,Capacity!$F$3:$F$7)-S6,0)</f>
        <v>0</v>
      </c>
      <c r="O6">
        <f>IF(T6&lt;_xlfn.XLOOKUP(O$1,Capacity!$D$3:$D$7,Capacity!$E$3:$E$7),_xlfn.XLOOKUP(O$1,Capacity!$D$3:$D$7,Capacity!$F$3:$F$7)-T6,0)</f>
        <v>0</v>
      </c>
      <c r="P6">
        <f>IF(U6&lt;_xlfn.XLOOKUP(P$1,Capacity!$D$3:$D$7,Capacity!$E$3:$E$7),_xlfn.XLOOKUP(P$1,Capacity!$D$3:$D$7,Capacity!$F$3:$F$7)-U6,0)</f>
        <v>0</v>
      </c>
      <c r="Q6">
        <f t="shared" si="1"/>
        <v>800</v>
      </c>
      <c r="R6">
        <f t="shared" si="2"/>
        <v>2000</v>
      </c>
      <c r="S6">
        <f t="shared" si="3"/>
        <v>800</v>
      </c>
      <c r="T6">
        <f t="shared" si="4"/>
        <v>3500</v>
      </c>
      <c r="U6">
        <f t="shared" si="5"/>
        <v>2300</v>
      </c>
    </row>
    <row r="7" spans="1:21">
      <c r="A7" s="5">
        <f t="shared" si="6"/>
        <v>46028</v>
      </c>
      <c r="B7">
        <f>SUMIFS('Demand Projection'!$D$2:$D$169,'Demand Projection'!$B$2:$B$169,B$1,'Demand Projection'!$C$2:$C$169,$A7)</f>
        <v>0</v>
      </c>
      <c r="C7">
        <f>SUMIFS('Demand Projection'!$D$2:$D$169,'Demand Projection'!$B$2:$B$169,C$1,'Demand Projection'!$C$2:$C$169,$A7)</f>
        <v>0</v>
      </c>
      <c r="D7">
        <f>SUMIFS('Demand Projection'!$D$2:$D$169,'Demand Projection'!$B$2:$B$169,D$1,'Demand Projection'!$C$2:$C$169,$A7)</f>
        <v>0</v>
      </c>
      <c r="E7">
        <f>SUMIFS('Demand Projection'!$D$2:$D$169,'Demand Projection'!$B$2:$B$169,E$1,'Demand Projection'!$C$2:$C$169,$A7)</f>
        <v>600</v>
      </c>
      <c r="F7">
        <f>SUMIFS('Demand Projection'!$D$2:$D$169,'Demand Projection'!$B$2:$B$169,F$1,'Demand Projection'!$C$2:$C$169,$A7)</f>
        <v>0</v>
      </c>
      <c r="G7" cm="1">
        <f t="array" ref="G7">Q6+IF(ROW()-3&lt;2,0,INDEX(L:L,ROW()-3))</f>
        <v>800</v>
      </c>
      <c r="H7" cm="1">
        <f t="array" ref="H7">R6+IF(ROW()-3&lt;2,0,INDEX(M:M,ROW()-3))</f>
        <v>2000</v>
      </c>
      <c r="I7" cm="1">
        <f t="array" ref="I7">S6+IF(ROW()-3&lt;2,0,INDEX(N:N,ROW()-3))</f>
        <v>800</v>
      </c>
      <c r="J7" cm="1">
        <f t="array" ref="J7">T6+IF(ROW()-3&lt;2,0,INDEX(O:O,ROW()-3))</f>
        <v>3500</v>
      </c>
      <c r="K7" cm="1">
        <f t="array" ref="K7">U6+IF(ROW()-3&lt;2,0,INDEX(P:P,ROW()-3))</f>
        <v>2300</v>
      </c>
      <c r="L7">
        <f>IF(Q7&lt;_xlfn.XLOOKUP(L$1,Capacity!$D$3:$D$7,Capacity!$E$3:$E$7),_xlfn.XLOOKUP(L$1,Capacity!$D$3:$D$7,Capacity!$F$3:$F$7)-Q7,0)</f>
        <v>0</v>
      </c>
      <c r="M7">
        <f>IF(R7&lt;_xlfn.XLOOKUP(M$1,Capacity!$D$3:$D$7,Capacity!$E$3:$E$7),_xlfn.XLOOKUP(M$1,Capacity!$D$3:$D$7,Capacity!$F$3:$F$7)-R7,0)</f>
        <v>0</v>
      </c>
      <c r="N7">
        <f>IF(S7&lt;_xlfn.XLOOKUP(N$1,Capacity!$D$3:$D$7,Capacity!$E$3:$E$7),_xlfn.XLOOKUP(N$1,Capacity!$D$3:$D$7,Capacity!$F$3:$F$7)-S7,0)</f>
        <v>0</v>
      </c>
      <c r="O7">
        <f>IF(T7&lt;_xlfn.XLOOKUP(O$1,Capacity!$D$3:$D$7,Capacity!$E$3:$E$7),_xlfn.XLOOKUP(O$1,Capacity!$D$3:$D$7,Capacity!$F$3:$F$7)-T7,0)</f>
        <v>0</v>
      </c>
      <c r="P7">
        <f>IF(U7&lt;_xlfn.XLOOKUP(P$1,Capacity!$D$3:$D$7,Capacity!$E$3:$E$7),_xlfn.XLOOKUP(P$1,Capacity!$D$3:$D$7,Capacity!$F$3:$F$7)-U7,0)</f>
        <v>0</v>
      </c>
      <c r="Q7">
        <f t="shared" si="1"/>
        <v>800</v>
      </c>
      <c r="R7">
        <f t="shared" si="2"/>
        <v>2000</v>
      </c>
      <c r="S7">
        <f t="shared" si="3"/>
        <v>800</v>
      </c>
      <c r="T7">
        <f t="shared" si="4"/>
        <v>2900</v>
      </c>
      <c r="U7">
        <f t="shared" si="5"/>
        <v>2300</v>
      </c>
    </row>
    <row r="8" spans="1:21">
      <c r="A8" s="5">
        <f t="shared" si="6"/>
        <v>46029</v>
      </c>
      <c r="B8">
        <f>SUMIFS('Demand Projection'!$D$2:$D$169,'Demand Projection'!$B$2:$B$169,B$1,'Demand Projection'!$C$2:$C$169,$A8)</f>
        <v>1000</v>
      </c>
      <c r="C8">
        <f>SUMIFS('Demand Projection'!$D$2:$D$169,'Demand Projection'!$B$2:$B$169,C$1,'Demand Projection'!$C$2:$C$169,$A8)</f>
        <v>0</v>
      </c>
      <c r="D8">
        <f>SUMIFS('Demand Projection'!$D$2:$D$169,'Demand Projection'!$B$2:$B$169,D$1,'Demand Projection'!$C$2:$C$169,$A8)</f>
        <v>0</v>
      </c>
      <c r="E8">
        <f>SUMIFS('Demand Projection'!$D$2:$D$169,'Demand Projection'!$B$2:$B$169,E$1,'Demand Projection'!$C$2:$C$169,$A8)</f>
        <v>0</v>
      </c>
      <c r="F8">
        <f>SUMIFS('Demand Projection'!$D$2:$D$169,'Demand Projection'!$B$2:$B$169,F$1,'Demand Projection'!$C$2:$C$169,$A8)</f>
        <v>0</v>
      </c>
      <c r="G8" cm="1">
        <f t="array" ref="G8">Q7+IF(ROW()-3&lt;2,0,INDEX(L:L,ROW()-3))</f>
        <v>800</v>
      </c>
      <c r="H8" cm="1">
        <f t="array" ref="H8">R7+IF(ROW()-3&lt;2,0,INDEX(M:M,ROW()-3))</f>
        <v>2000</v>
      </c>
      <c r="I8" cm="1">
        <f t="array" ref="I8">S7+IF(ROW()-3&lt;2,0,INDEX(N:N,ROW()-3))</f>
        <v>800</v>
      </c>
      <c r="J8" cm="1">
        <f t="array" ref="J8">T7+IF(ROW()-3&lt;2,0,INDEX(O:O,ROW()-3))</f>
        <v>2900</v>
      </c>
      <c r="K8" cm="1">
        <f t="array" ref="K8">U7+IF(ROW()-3&lt;2,0,INDEX(P:P,ROW()-3))</f>
        <v>2300</v>
      </c>
      <c r="L8">
        <f>IF(Q8&lt;_xlfn.XLOOKUP(L$1,Capacity!$D$3:$D$7,Capacity!$E$3:$E$7),_xlfn.XLOOKUP(L$1,Capacity!$D$3:$D$7,Capacity!$F$3:$F$7)-Q8,0)</f>
        <v>2832</v>
      </c>
      <c r="M8">
        <f>IF(R8&lt;_xlfn.XLOOKUP(M$1,Capacity!$D$3:$D$7,Capacity!$E$3:$E$7),_xlfn.XLOOKUP(M$1,Capacity!$D$3:$D$7,Capacity!$F$3:$F$7)-R8,0)</f>
        <v>0</v>
      </c>
      <c r="N8">
        <f>IF(S8&lt;_xlfn.XLOOKUP(N$1,Capacity!$D$3:$D$7,Capacity!$E$3:$E$7),_xlfn.XLOOKUP(N$1,Capacity!$D$3:$D$7,Capacity!$F$3:$F$7)-S8,0)</f>
        <v>0</v>
      </c>
      <c r="O8">
        <f>IF(T8&lt;_xlfn.XLOOKUP(O$1,Capacity!$D$3:$D$7,Capacity!$E$3:$E$7),_xlfn.XLOOKUP(O$1,Capacity!$D$3:$D$7,Capacity!$F$3:$F$7)-T8,0)</f>
        <v>0</v>
      </c>
      <c r="P8">
        <f>IF(U8&lt;_xlfn.XLOOKUP(P$1,Capacity!$D$3:$D$7,Capacity!$E$3:$E$7),_xlfn.XLOOKUP(P$1,Capacity!$D$3:$D$7,Capacity!$F$3:$F$7)-U8,0)</f>
        <v>0</v>
      </c>
      <c r="Q8">
        <f t="shared" si="1"/>
        <v>-200</v>
      </c>
      <c r="R8">
        <f t="shared" si="2"/>
        <v>2000</v>
      </c>
      <c r="S8">
        <f t="shared" si="3"/>
        <v>800</v>
      </c>
      <c r="T8">
        <f t="shared" si="4"/>
        <v>2900</v>
      </c>
      <c r="U8">
        <f t="shared" si="5"/>
        <v>2300</v>
      </c>
    </row>
    <row r="9" spans="1:21">
      <c r="A9" s="5">
        <f t="shared" si="6"/>
        <v>46030</v>
      </c>
      <c r="B9">
        <f>SUMIFS('Demand Projection'!$D$2:$D$169,'Demand Projection'!$B$2:$B$169,B$1,'Demand Projection'!$C$2:$C$169,$A9)</f>
        <v>0</v>
      </c>
      <c r="C9">
        <f>SUMIFS('Demand Projection'!$D$2:$D$169,'Demand Projection'!$B$2:$B$169,C$1,'Demand Projection'!$C$2:$C$169,$A9)</f>
        <v>0</v>
      </c>
      <c r="D9">
        <f>SUMIFS('Demand Projection'!$D$2:$D$169,'Demand Projection'!$B$2:$B$169,D$1,'Demand Projection'!$C$2:$C$169,$A9)</f>
        <v>0</v>
      </c>
      <c r="E9">
        <f>SUMIFS('Demand Projection'!$D$2:$D$169,'Demand Projection'!$B$2:$B$169,E$1,'Demand Projection'!$C$2:$C$169,$A9)</f>
        <v>0</v>
      </c>
      <c r="F9">
        <f>SUMIFS('Demand Projection'!$D$2:$D$169,'Demand Projection'!$B$2:$B$169,F$1,'Demand Projection'!$C$2:$C$169,$A9)</f>
        <v>0</v>
      </c>
      <c r="G9" cm="1">
        <f t="array" ref="G9">Q8+IF(ROW()-3&lt;2,0,INDEX(L:L,ROW()-3))</f>
        <v>-200</v>
      </c>
      <c r="H9" cm="1">
        <f t="array" ref="H9">R8+IF(ROW()-3&lt;2,0,INDEX(M:M,ROW()-3))</f>
        <v>2000</v>
      </c>
      <c r="I9" cm="1">
        <f t="array" ref="I9">S8+IF(ROW()-3&lt;2,0,INDEX(N:N,ROW()-3))</f>
        <v>800</v>
      </c>
      <c r="J9" cm="1">
        <f t="array" ref="J9">T8+IF(ROW()-3&lt;2,0,INDEX(O:O,ROW()-3))</f>
        <v>2900</v>
      </c>
      <c r="K9" cm="1">
        <f t="array" ref="K9">U8+IF(ROW()-3&lt;2,0,INDEX(P:P,ROW()-3))</f>
        <v>2300</v>
      </c>
      <c r="L9">
        <f>IF(Q9&lt;_xlfn.XLOOKUP(L$1,Capacity!$D$3:$D$7,Capacity!$E$3:$E$7),_xlfn.XLOOKUP(L$1,Capacity!$D$3:$D$7,Capacity!$F$3:$F$7)-Q9,0)</f>
        <v>2832</v>
      </c>
      <c r="M9">
        <f>IF(R9&lt;_xlfn.XLOOKUP(M$1,Capacity!$D$3:$D$7,Capacity!$E$3:$E$7),_xlfn.XLOOKUP(M$1,Capacity!$D$3:$D$7,Capacity!$F$3:$F$7)-R9,0)</f>
        <v>0</v>
      </c>
      <c r="N9">
        <f>IF(S9&lt;_xlfn.XLOOKUP(N$1,Capacity!$D$3:$D$7,Capacity!$E$3:$E$7),_xlfn.XLOOKUP(N$1,Capacity!$D$3:$D$7,Capacity!$F$3:$F$7)-S9,0)</f>
        <v>0</v>
      </c>
      <c r="O9">
        <f>IF(T9&lt;_xlfn.XLOOKUP(O$1,Capacity!$D$3:$D$7,Capacity!$E$3:$E$7),_xlfn.XLOOKUP(O$1,Capacity!$D$3:$D$7,Capacity!$F$3:$F$7)-T9,0)</f>
        <v>0</v>
      </c>
      <c r="P9">
        <f>IF(U9&lt;_xlfn.XLOOKUP(P$1,Capacity!$D$3:$D$7,Capacity!$E$3:$E$7),_xlfn.XLOOKUP(P$1,Capacity!$D$3:$D$7,Capacity!$F$3:$F$7)-U9,0)</f>
        <v>0</v>
      </c>
      <c r="Q9">
        <f t="shared" si="1"/>
        <v>-200</v>
      </c>
      <c r="R9">
        <f t="shared" si="2"/>
        <v>2000</v>
      </c>
      <c r="S9">
        <f t="shared" si="3"/>
        <v>800</v>
      </c>
      <c r="T9">
        <f t="shared" si="4"/>
        <v>2900</v>
      </c>
      <c r="U9">
        <f t="shared" si="5"/>
        <v>2300</v>
      </c>
    </row>
    <row r="10" spans="1:21">
      <c r="A10" s="5">
        <f t="shared" si="6"/>
        <v>46031</v>
      </c>
      <c r="B10">
        <f>SUMIFS('Demand Projection'!$D$2:$D$169,'Demand Projection'!$B$2:$B$169,B$1,'Demand Projection'!$C$2:$C$169,$A10)</f>
        <v>0</v>
      </c>
      <c r="C10">
        <f>SUMIFS('Demand Projection'!$D$2:$D$169,'Demand Projection'!$B$2:$B$169,C$1,'Demand Projection'!$C$2:$C$169,$A10)</f>
        <v>0</v>
      </c>
      <c r="D10">
        <f>SUMIFS('Demand Projection'!$D$2:$D$169,'Demand Projection'!$B$2:$B$169,D$1,'Demand Projection'!$C$2:$C$169,$A10)</f>
        <v>500</v>
      </c>
      <c r="E10">
        <f>SUMIFS('Demand Projection'!$D$2:$D$169,'Demand Projection'!$B$2:$B$169,E$1,'Demand Projection'!$C$2:$C$169,$A10)</f>
        <v>0</v>
      </c>
      <c r="F10">
        <f>SUMIFS('Demand Projection'!$D$2:$D$169,'Demand Projection'!$B$2:$B$169,F$1,'Demand Projection'!$C$2:$C$169,$A10)</f>
        <v>0</v>
      </c>
      <c r="G10" cm="1">
        <f t="array" ref="G10">Q9+IF(ROW()-3&lt;2,0,INDEX(L:L,ROW()-3))</f>
        <v>-200</v>
      </c>
      <c r="H10" cm="1">
        <f t="array" ref="H10">R9+IF(ROW()-3&lt;2,0,INDEX(M:M,ROW()-3))</f>
        <v>2000</v>
      </c>
      <c r="I10" cm="1">
        <f t="array" ref="I10">S9+IF(ROW()-3&lt;2,0,INDEX(N:N,ROW()-3))</f>
        <v>800</v>
      </c>
      <c r="J10" cm="1">
        <f t="array" ref="J10">T9+IF(ROW()-3&lt;2,0,INDEX(O:O,ROW()-3))</f>
        <v>2900</v>
      </c>
      <c r="K10" cm="1">
        <f t="array" ref="K10">U9+IF(ROW()-3&lt;2,0,INDEX(P:P,ROW()-3))</f>
        <v>2300</v>
      </c>
      <c r="L10">
        <f>IF(Q10&lt;_xlfn.XLOOKUP(L$1,Capacity!$D$3:$D$7,Capacity!$E$3:$E$7),_xlfn.XLOOKUP(L$1,Capacity!$D$3:$D$7,Capacity!$F$3:$F$7)-Q10,0)</f>
        <v>2832</v>
      </c>
      <c r="M10">
        <f>IF(R10&lt;_xlfn.XLOOKUP(M$1,Capacity!$D$3:$D$7,Capacity!$E$3:$E$7),_xlfn.XLOOKUP(M$1,Capacity!$D$3:$D$7,Capacity!$F$3:$F$7)-R10,0)</f>
        <v>0</v>
      </c>
      <c r="N10">
        <f>IF(S10&lt;_xlfn.XLOOKUP(N$1,Capacity!$D$3:$D$7,Capacity!$E$3:$E$7),_xlfn.XLOOKUP(N$1,Capacity!$D$3:$D$7,Capacity!$F$3:$F$7)-S10,0)</f>
        <v>1237</v>
      </c>
      <c r="O10">
        <f>IF(T10&lt;_xlfn.XLOOKUP(O$1,Capacity!$D$3:$D$7,Capacity!$E$3:$E$7),_xlfn.XLOOKUP(O$1,Capacity!$D$3:$D$7,Capacity!$F$3:$F$7)-T10,0)</f>
        <v>0</v>
      </c>
      <c r="P10">
        <f>IF(U10&lt;_xlfn.XLOOKUP(P$1,Capacity!$D$3:$D$7,Capacity!$E$3:$E$7),_xlfn.XLOOKUP(P$1,Capacity!$D$3:$D$7,Capacity!$F$3:$F$7)-U10,0)</f>
        <v>0</v>
      </c>
      <c r="Q10">
        <f t="shared" si="1"/>
        <v>-200</v>
      </c>
      <c r="R10">
        <f t="shared" si="2"/>
        <v>2000</v>
      </c>
      <c r="S10">
        <f t="shared" si="3"/>
        <v>300</v>
      </c>
      <c r="T10">
        <f t="shared" si="4"/>
        <v>2900</v>
      </c>
      <c r="U10">
        <f t="shared" si="5"/>
        <v>2300</v>
      </c>
    </row>
    <row r="11" spans="1:21">
      <c r="A11" s="5">
        <f t="shared" si="6"/>
        <v>46032</v>
      </c>
      <c r="B11">
        <f>SUMIFS('Demand Projection'!$D$2:$D$169,'Demand Projection'!$B$2:$B$169,B$1,'Demand Projection'!$C$2:$C$169,$A11)</f>
        <v>0</v>
      </c>
      <c r="C11">
        <f>SUMIFS('Demand Projection'!$D$2:$D$169,'Demand Projection'!$B$2:$B$169,C$1,'Demand Projection'!$C$2:$C$169,$A11)</f>
        <v>0</v>
      </c>
      <c r="D11">
        <f>SUMIFS('Demand Projection'!$D$2:$D$169,'Demand Projection'!$B$2:$B$169,D$1,'Demand Projection'!$C$2:$C$169,$A11)</f>
        <v>0</v>
      </c>
      <c r="E11">
        <f>SUMIFS('Demand Projection'!$D$2:$D$169,'Demand Projection'!$B$2:$B$169,E$1,'Demand Projection'!$C$2:$C$169,$A11)</f>
        <v>0</v>
      </c>
      <c r="F11">
        <f>SUMIFS('Demand Projection'!$D$2:$D$169,'Demand Projection'!$B$2:$B$169,F$1,'Demand Projection'!$C$2:$C$169,$A11)</f>
        <v>0</v>
      </c>
      <c r="G11" cm="1">
        <f t="array" ref="G11">Q10+IF(ROW()-3&lt;2,0,INDEX(L:L,ROW()-3))</f>
        <v>2632</v>
      </c>
      <c r="H11" cm="1">
        <f t="array" ref="H11">R10+IF(ROW()-3&lt;2,0,INDEX(M:M,ROW()-3))</f>
        <v>2000</v>
      </c>
      <c r="I11" cm="1">
        <f t="array" ref="I11">S10+IF(ROW()-3&lt;2,0,INDEX(N:N,ROW()-3))</f>
        <v>300</v>
      </c>
      <c r="J11" cm="1">
        <f t="array" ref="J11">T10+IF(ROW()-3&lt;2,0,INDEX(O:O,ROW()-3))</f>
        <v>2900</v>
      </c>
      <c r="K11" cm="1">
        <f t="array" ref="K11">U10+IF(ROW()-3&lt;2,0,INDEX(P:P,ROW()-3))</f>
        <v>2300</v>
      </c>
      <c r="L11">
        <f>IF(Q11&lt;_xlfn.XLOOKUP(L$1,Capacity!$D$3:$D$7,Capacity!$E$3:$E$7),_xlfn.XLOOKUP(L$1,Capacity!$D$3:$D$7,Capacity!$F$3:$F$7)-Q11,0)</f>
        <v>0</v>
      </c>
      <c r="M11">
        <f>IF(R11&lt;_xlfn.XLOOKUP(M$1,Capacity!$D$3:$D$7,Capacity!$E$3:$E$7),_xlfn.XLOOKUP(M$1,Capacity!$D$3:$D$7,Capacity!$F$3:$F$7)-R11,0)</f>
        <v>0</v>
      </c>
      <c r="N11">
        <f>IF(S11&lt;_xlfn.XLOOKUP(N$1,Capacity!$D$3:$D$7,Capacity!$E$3:$E$7),_xlfn.XLOOKUP(N$1,Capacity!$D$3:$D$7,Capacity!$F$3:$F$7)-S11,0)</f>
        <v>1237</v>
      </c>
      <c r="O11">
        <f>IF(T11&lt;_xlfn.XLOOKUP(O$1,Capacity!$D$3:$D$7,Capacity!$E$3:$E$7),_xlfn.XLOOKUP(O$1,Capacity!$D$3:$D$7,Capacity!$F$3:$F$7)-T11,0)</f>
        <v>0</v>
      </c>
      <c r="P11">
        <f>IF(U11&lt;_xlfn.XLOOKUP(P$1,Capacity!$D$3:$D$7,Capacity!$E$3:$E$7),_xlfn.XLOOKUP(P$1,Capacity!$D$3:$D$7,Capacity!$F$3:$F$7)-U11,0)</f>
        <v>0</v>
      </c>
      <c r="Q11">
        <f t="shared" si="1"/>
        <v>2632</v>
      </c>
      <c r="R11">
        <f t="shared" si="2"/>
        <v>2000</v>
      </c>
      <c r="S11">
        <f t="shared" si="3"/>
        <v>300</v>
      </c>
      <c r="T11">
        <f t="shared" si="4"/>
        <v>2900</v>
      </c>
      <c r="U11">
        <f t="shared" si="5"/>
        <v>2300</v>
      </c>
    </row>
    <row r="12" spans="1:21">
      <c r="A12" s="5">
        <f t="shared" si="6"/>
        <v>46033</v>
      </c>
      <c r="B12">
        <f>SUMIFS('Demand Projection'!$D$2:$D$169,'Demand Projection'!$B$2:$B$169,B$1,'Demand Projection'!$C$2:$C$169,$A12)</f>
        <v>0</v>
      </c>
      <c r="C12">
        <f>SUMIFS('Demand Projection'!$D$2:$D$169,'Demand Projection'!$B$2:$B$169,C$1,'Demand Projection'!$C$2:$C$169,$A12)</f>
        <v>0</v>
      </c>
      <c r="D12">
        <f>SUMIFS('Demand Projection'!$D$2:$D$169,'Demand Projection'!$B$2:$B$169,D$1,'Demand Projection'!$C$2:$C$169,$A12)</f>
        <v>0</v>
      </c>
      <c r="E12">
        <f>SUMIFS('Demand Projection'!$D$2:$D$169,'Demand Projection'!$B$2:$B$169,E$1,'Demand Projection'!$C$2:$C$169,$A12)</f>
        <v>0</v>
      </c>
      <c r="F12">
        <f>SUMIFS('Demand Projection'!$D$2:$D$169,'Demand Projection'!$B$2:$B$169,F$1,'Demand Projection'!$C$2:$C$169,$A12)</f>
        <v>0</v>
      </c>
      <c r="G12" cm="1">
        <f t="array" ref="G12">Q11+IF(ROW()-3&lt;2,0,INDEX(L:L,ROW()-3))</f>
        <v>5464</v>
      </c>
      <c r="H12" cm="1">
        <f t="array" ref="H12">R11+IF(ROW()-3&lt;2,0,INDEX(M:M,ROW()-3))</f>
        <v>2000</v>
      </c>
      <c r="I12" cm="1">
        <f t="array" ref="I12">S11+IF(ROW()-3&lt;2,0,INDEX(N:N,ROW()-3))</f>
        <v>300</v>
      </c>
      <c r="J12" cm="1">
        <f t="array" ref="J12">T11+IF(ROW()-3&lt;2,0,INDEX(O:O,ROW()-3))</f>
        <v>2900</v>
      </c>
      <c r="K12" cm="1">
        <f t="array" ref="K12">U11+IF(ROW()-3&lt;2,0,INDEX(P:P,ROW()-3))</f>
        <v>2300</v>
      </c>
      <c r="L12">
        <f>IF(Q12&lt;_xlfn.XLOOKUP(L$1,Capacity!$D$3:$D$7,Capacity!$E$3:$E$7),_xlfn.XLOOKUP(L$1,Capacity!$D$3:$D$7,Capacity!$F$3:$F$7)-Q12,0)</f>
        <v>0</v>
      </c>
      <c r="M12">
        <f>IF(R12&lt;_xlfn.XLOOKUP(M$1,Capacity!$D$3:$D$7,Capacity!$E$3:$E$7),_xlfn.XLOOKUP(M$1,Capacity!$D$3:$D$7,Capacity!$F$3:$F$7)-R12,0)</f>
        <v>0</v>
      </c>
      <c r="N12">
        <f>IF(S12&lt;_xlfn.XLOOKUP(N$1,Capacity!$D$3:$D$7,Capacity!$E$3:$E$7),_xlfn.XLOOKUP(N$1,Capacity!$D$3:$D$7,Capacity!$F$3:$F$7)-S12,0)</f>
        <v>1237</v>
      </c>
      <c r="O12">
        <f>IF(T12&lt;_xlfn.XLOOKUP(O$1,Capacity!$D$3:$D$7,Capacity!$E$3:$E$7),_xlfn.XLOOKUP(O$1,Capacity!$D$3:$D$7,Capacity!$F$3:$F$7)-T12,0)</f>
        <v>0</v>
      </c>
      <c r="P12">
        <f>IF(U12&lt;_xlfn.XLOOKUP(P$1,Capacity!$D$3:$D$7,Capacity!$E$3:$E$7),_xlfn.XLOOKUP(P$1,Capacity!$D$3:$D$7,Capacity!$F$3:$F$7)-U12,0)</f>
        <v>0</v>
      </c>
      <c r="Q12">
        <f t="shared" si="1"/>
        <v>5464</v>
      </c>
      <c r="R12">
        <f t="shared" si="2"/>
        <v>2000</v>
      </c>
      <c r="S12">
        <f t="shared" si="3"/>
        <v>300</v>
      </c>
      <c r="T12">
        <f t="shared" si="4"/>
        <v>2900</v>
      </c>
      <c r="U12">
        <f t="shared" si="5"/>
        <v>2300</v>
      </c>
    </row>
    <row r="13" spans="1:21">
      <c r="A13" s="5">
        <f t="shared" si="6"/>
        <v>46034</v>
      </c>
      <c r="B13">
        <f>SUMIFS('Demand Projection'!$D$2:$D$169,'Demand Projection'!$B$2:$B$169,B$1,'Demand Projection'!$C$2:$C$169,$A13)</f>
        <v>0</v>
      </c>
      <c r="C13">
        <f>SUMIFS('Demand Projection'!$D$2:$D$169,'Demand Projection'!$B$2:$B$169,C$1,'Demand Projection'!$C$2:$C$169,$A13)</f>
        <v>0</v>
      </c>
      <c r="D13">
        <f>SUMIFS('Demand Projection'!$D$2:$D$169,'Demand Projection'!$B$2:$B$169,D$1,'Demand Projection'!$C$2:$C$169,$A13)</f>
        <v>0</v>
      </c>
      <c r="E13">
        <f>SUMIFS('Demand Projection'!$D$2:$D$169,'Demand Projection'!$B$2:$B$169,E$1,'Demand Projection'!$C$2:$C$169,$A13)</f>
        <v>0</v>
      </c>
      <c r="F13">
        <f>SUMIFS('Demand Projection'!$D$2:$D$169,'Demand Projection'!$B$2:$B$169,F$1,'Demand Projection'!$C$2:$C$169,$A13)</f>
        <v>400</v>
      </c>
      <c r="G13" cm="1">
        <f t="array" ref="G13">Q12+IF(ROW()-3&lt;2,0,INDEX(L:L,ROW()-3))</f>
        <v>8296</v>
      </c>
      <c r="H13" cm="1">
        <f t="array" ref="H13">R12+IF(ROW()-3&lt;2,0,INDEX(M:M,ROW()-3))</f>
        <v>2000</v>
      </c>
      <c r="I13" cm="1">
        <f t="array" ref="I13">S12+IF(ROW()-3&lt;2,0,INDEX(N:N,ROW()-3))</f>
        <v>1537</v>
      </c>
      <c r="J13" cm="1">
        <f t="array" ref="J13">T12+IF(ROW()-3&lt;2,0,INDEX(O:O,ROW()-3))</f>
        <v>2900</v>
      </c>
      <c r="K13" cm="1">
        <f t="array" ref="K13">U12+IF(ROW()-3&lt;2,0,INDEX(P:P,ROW()-3))</f>
        <v>2300</v>
      </c>
      <c r="L13">
        <f>IF(Q13&lt;_xlfn.XLOOKUP(L$1,Capacity!$D$3:$D$7,Capacity!$E$3:$E$7),_xlfn.XLOOKUP(L$1,Capacity!$D$3:$D$7,Capacity!$F$3:$F$7)-Q13,0)</f>
        <v>0</v>
      </c>
      <c r="M13">
        <f>IF(R13&lt;_xlfn.XLOOKUP(M$1,Capacity!$D$3:$D$7,Capacity!$E$3:$E$7),_xlfn.XLOOKUP(M$1,Capacity!$D$3:$D$7,Capacity!$F$3:$F$7)-R13,0)</f>
        <v>0</v>
      </c>
      <c r="N13">
        <f>IF(S13&lt;_xlfn.XLOOKUP(N$1,Capacity!$D$3:$D$7,Capacity!$E$3:$E$7),_xlfn.XLOOKUP(N$1,Capacity!$D$3:$D$7,Capacity!$F$3:$F$7)-S13,0)</f>
        <v>0</v>
      </c>
      <c r="O13">
        <f>IF(T13&lt;_xlfn.XLOOKUP(O$1,Capacity!$D$3:$D$7,Capacity!$E$3:$E$7),_xlfn.XLOOKUP(O$1,Capacity!$D$3:$D$7,Capacity!$F$3:$F$7)-T13,0)</f>
        <v>0</v>
      </c>
      <c r="P13">
        <f>IF(U13&lt;_xlfn.XLOOKUP(P$1,Capacity!$D$3:$D$7,Capacity!$E$3:$E$7),_xlfn.XLOOKUP(P$1,Capacity!$D$3:$D$7,Capacity!$F$3:$F$7)-U13,0)</f>
        <v>0</v>
      </c>
      <c r="Q13">
        <f t="shared" si="1"/>
        <v>8296</v>
      </c>
      <c r="R13">
        <f t="shared" si="2"/>
        <v>2000</v>
      </c>
      <c r="S13">
        <f t="shared" si="3"/>
        <v>1537</v>
      </c>
      <c r="T13">
        <f t="shared" si="4"/>
        <v>2900</v>
      </c>
      <c r="U13">
        <f t="shared" si="5"/>
        <v>1900</v>
      </c>
    </row>
    <row r="14" spans="1:21">
      <c r="A14" s="5">
        <f t="shared" si="6"/>
        <v>46035</v>
      </c>
      <c r="B14">
        <f>SUMIFS('Demand Projection'!$D$2:$D$169,'Demand Projection'!$B$2:$B$169,B$1,'Demand Projection'!$C$2:$C$169,$A14)</f>
        <v>0</v>
      </c>
      <c r="C14">
        <f>SUMIFS('Demand Projection'!$D$2:$D$169,'Demand Projection'!$B$2:$B$169,C$1,'Demand Projection'!$C$2:$C$169,$A14)</f>
        <v>600</v>
      </c>
      <c r="D14">
        <f>SUMIFS('Demand Projection'!$D$2:$D$169,'Demand Projection'!$B$2:$B$169,D$1,'Demand Projection'!$C$2:$C$169,$A14)</f>
        <v>0</v>
      </c>
      <c r="E14">
        <f>SUMIFS('Demand Projection'!$D$2:$D$169,'Demand Projection'!$B$2:$B$169,E$1,'Demand Projection'!$C$2:$C$169,$A14)</f>
        <v>0</v>
      </c>
      <c r="F14">
        <f>SUMIFS('Demand Projection'!$D$2:$D$169,'Demand Projection'!$B$2:$B$169,F$1,'Demand Projection'!$C$2:$C$169,$A14)</f>
        <v>0</v>
      </c>
      <c r="G14" cm="1">
        <f t="array" ref="G14">Q13+IF(ROW()-3&lt;2,0,INDEX(L:L,ROW()-3))</f>
        <v>8296</v>
      </c>
      <c r="H14" cm="1">
        <f t="array" ref="H14">R13+IF(ROW()-3&lt;2,0,INDEX(M:M,ROW()-3))</f>
        <v>2000</v>
      </c>
      <c r="I14" cm="1">
        <f t="array" ref="I14">S13+IF(ROW()-3&lt;2,0,INDEX(N:N,ROW()-3))</f>
        <v>2774</v>
      </c>
      <c r="J14" cm="1">
        <f t="array" ref="J14">T13+IF(ROW()-3&lt;2,0,INDEX(O:O,ROW()-3))</f>
        <v>2900</v>
      </c>
      <c r="K14" cm="1">
        <f t="array" ref="K14">U13+IF(ROW()-3&lt;2,0,INDEX(P:P,ROW()-3))</f>
        <v>1900</v>
      </c>
      <c r="L14">
        <f>IF(Q14&lt;_xlfn.XLOOKUP(L$1,Capacity!$D$3:$D$7,Capacity!$E$3:$E$7),_xlfn.XLOOKUP(L$1,Capacity!$D$3:$D$7,Capacity!$F$3:$F$7)-Q14,0)</f>
        <v>0</v>
      </c>
      <c r="M14">
        <f>IF(R14&lt;_xlfn.XLOOKUP(M$1,Capacity!$D$3:$D$7,Capacity!$E$3:$E$7),_xlfn.XLOOKUP(M$1,Capacity!$D$3:$D$7,Capacity!$F$3:$F$7)-R14,0)</f>
        <v>0</v>
      </c>
      <c r="N14">
        <f>IF(S14&lt;_xlfn.XLOOKUP(N$1,Capacity!$D$3:$D$7,Capacity!$E$3:$E$7),_xlfn.XLOOKUP(N$1,Capacity!$D$3:$D$7,Capacity!$F$3:$F$7)-S14,0)</f>
        <v>0</v>
      </c>
      <c r="O14">
        <f>IF(T14&lt;_xlfn.XLOOKUP(O$1,Capacity!$D$3:$D$7,Capacity!$E$3:$E$7),_xlfn.XLOOKUP(O$1,Capacity!$D$3:$D$7,Capacity!$F$3:$F$7)-T14,0)</f>
        <v>0</v>
      </c>
      <c r="P14">
        <f>IF(U14&lt;_xlfn.XLOOKUP(P$1,Capacity!$D$3:$D$7,Capacity!$E$3:$E$7),_xlfn.XLOOKUP(P$1,Capacity!$D$3:$D$7,Capacity!$F$3:$F$7)-U14,0)</f>
        <v>0</v>
      </c>
      <c r="Q14">
        <f t="shared" si="1"/>
        <v>8296</v>
      </c>
      <c r="R14">
        <f t="shared" si="2"/>
        <v>1400</v>
      </c>
      <c r="S14">
        <f t="shared" si="3"/>
        <v>2774</v>
      </c>
      <c r="T14">
        <f t="shared" si="4"/>
        <v>2900</v>
      </c>
      <c r="U14">
        <f t="shared" si="5"/>
        <v>1900</v>
      </c>
    </row>
    <row r="15" spans="1:21">
      <c r="A15" s="5">
        <f t="shared" si="6"/>
        <v>46036</v>
      </c>
      <c r="B15">
        <f>SUMIFS('Demand Projection'!$D$2:$D$169,'Demand Projection'!$B$2:$B$169,B$1,'Demand Projection'!$C$2:$C$169,$A15)</f>
        <v>0</v>
      </c>
      <c r="C15">
        <f>SUMIFS('Demand Projection'!$D$2:$D$169,'Demand Projection'!$B$2:$B$169,C$1,'Demand Projection'!$C$2:$C$169,$A15)</f>
        <v>0</v>
      </c>
      <c r="D15">
        <f>SUMIFS('Demand Projection'!$D$2:$D$169,'Demand Projection'!$B$2:$B$169,D$1,'Demand Projection'!$C$2:$C$169,$A15)</f>
        <v>0</v>
      </c>
      <c r="E15">
        <f>SUMIFS('Demand Projection'!$D$2:$D$169,'Demand Projection'!$B$2:$B$169,E$1,'Demand Projection'!$C$2:$C$169,$A15)</f>
        <v>0</v>
      </c>
      <c r="F15">
        <f>SUMIFS('Demand Projection'!$D$2:$D$169,'Demand Projection'!$B$2:$B$169,F$1,'Demand Projection'!$C$2:$C$169,$A15)</f>
        <v>0</v>
      </c>
      <c r="G15" cm="1">
        <f t="array" ref="G15">Q14+IF(ROW()-3&lt;2,0,INDEX(L:L,ROW()-3))</f>
        <v>8296</v>
      </c>
      <c r="H15" cm="1">
        <f t="array" ref="H15">R14+IF(ROW()-3&lt;2,0,INDEX(M:M,ROW()-3))</f>
        <v>1400</v>
      </c>
      <c r="I15" cm="1">
        <f t="array" ref="I15">S14+IF(ROW()-3&lt;2,0,INDEX(N:N,ROW()-3))</f>
        <v>4011</v>
      </c>
      <c r="J15" cm="1">
        <f t="array" ref="J15">T14+IF(ROW()-3&lt;2,0,INDEX(O:O,ROW()-3))</f>
        <v>2900</v>
      </c>
      <c r="K15" cm="1">
        <f t="array" ref="K15">U14+IF(ROW()-3&lt;2,0,INDEX(P:P,ROW()-3))</f>
        <v>1900</v>
      </c>
      <c r="L15">
        <f>IF(Q15&lt;_xlfn.XLOOKUP(L$1,Capacity!$D$3:$D$7,Capacity!$E$3:$E$7),_xlfn.XLOOKUP(L$1,Capacity!$D$3:$D$7,Capacity!$F$3:$F$7)-Q15,0)</f>
        <v>0</v>
      </c>
      <c r="M15">
        <f>IF(R15&lt;_xlfn.XLOOKUP(M$1,Capacity!$D$3:$D$7,Capacity!$E$3:$E$7),_xlfn.XLOOKUP(M$1,Capacity!$D$3:$D$7,Capacity!$F$3:$F$7)-R15,0)</f>
        <v>0</v>
      </c>
      <c r="N15">
        <f>IF(S15&lt;_xlfn.XLOOKUP(N$1,Capacity!$D$3:$D$7,Capacity!$E$3:$E$7),_xlfn.XLOOKUP(N$1,Capacity!$D$3:$D$7,Capacity!$F$3:$F$7)-S15,0)</f>
        <v>0</v>
      </c>
      <c r="O15">
        <f>IF(T15&lt;_xlfn.XLOOKUP(O$1,Capacity!$D$3:$D$7,Capacity!$E$3:$E$7),_xlfn.XLOOKUP(O$1,Capacity!$D$3:$D$7,Capacity!$F$3:$F$7)-T15,0)</f>
        <v>0</v>
      </c>
      <c r="P15">
        <f>IF(U15&lt;_xlfn.XLOOKUP(P$1,Capacity!$D$3:$D$7,Capacity!$E$3:$E$7),_xlfn.XLOOKUP(P$1,Capacity!$D$3:$D$7,Capacity!$F$3:$F$7)-U15,0)</f>
        <v>0</v>
      </c>
      <c r="Q15">
        <f t="shared" si="1"/>
        <v>8296</v>
      </c>
      <c r="R15">
        <f t="shared" si="2"/>
        <v>1400</v>
      </c>
      <c r="S15">
        <f t="shared" si="3"/>
        <v>4011</v>
      </c>
      <c r="T15">
        <f t="shared" si="4"/>
        <v>2900</v>
      </c>
      <c r="U15">
        <f t="shared" si="5"/>
        <v>1900</v>
      </c>
    </row>
    <row r="16" spans="1:21">
      <c r="A16" s="5">
        <f t="shared" si="6"/>
        <v>46037</v>
      </c>
      <c r="B16">
        <f>SUMIFS('Demand Projection'!$D$2:$D$169,'Demand Projection'!$B$2:$B$169,B$1,'Demand Projection'!$C$2:$C$169,$A16)</f>
        <v>0</v>
      </c>
      <c r="C16">
        <f>SUMIFS('Demand Projection'!$D$2:$D$169,'Demand Projection'!$B$2:$B$169,C$1,'Demand Projection'!$C$2:$C$169,$A16)</f>
        <v>0</v>
      </c>
      <c r="D16">
        <f>SUMIFS('Demand Projection'!$D$2:$D$169,'Demand Projection'!$B$2:$B$169,D$1,'Demand Projection'!$C$2:$C$169,$A16)</f>
        <v>0</v>
      </c>
      <c r="E16">
        <f>SUMIFS('Demand Projection'!$D$2:$D$169,'Demand Projection'!$B$2:$B$169,E$1,'Demand Projection'!$C$2:$C$169,$A16)</f>
        <v>0</v>
      </c>
      <c r="F16">
        <f>SUMIFS('Demand Projection'!$D$2:$D$169,'Demand Projection'!$B$2:$B$169,F$1,'Demand Projection'!$C$2:$C$169,$A16)</f>
        <v>0</v>
      </c>
      <c r="G16" cm="1">
        <f t="array" ref="G16">Q15+IF(ROW()-3&lt;2,0,INDEX(L:L,ROW()-3))</f>
        <v>8296</v>
      </c>
      <c r="H16" cm="1">
        <f t="array" ref="H16">R15+IF(ROW()-3&lt;2,0,INDEX(M:M,ROW()-3))</f>
        <v>1400</v>
      </c>
      <c r="I16" cm="1">
        <f t="array" ref="I16">S15+IF(ROW()-3&lt;2,0,INDEX(N:N,ROW()-3))</f>
        <v>4011</v>
      </c>
      <c r="J16" cm="1">
        <f t="array" ref="J16">T15+IF(ROW()-3&lt;2,0,INDEX(O:O,ROW()-3))</f>
        <v>2900</v>
      </c>
      <c r="K16" cm="1">
        <f t="array" ref="K16">U15+IF(ROW()-3&lt;2,0,INDEX(P:P,ROW()-3))</f>
        <v>1900</v>
      </c>
      <c r="L16">
        <f>IF(Q16&lt;_xlfn.XLOOKUP(L$1,Capacity!$D$3:$D$7,Capacity!$E$3:$E$7),_xlfn.XLOOKUP(L$1,Capacity!$D$3:$D$7,Capacity!$F$3:$F$7)-Q16,0)</f>
        <v>0</v>
      </c>
      <c r="M16">
        <f>IF(R16&lt;_xlfn.XLOOKUP(M$1,Capacity!$D$3:$D$7,Capacity!$E$3:$E$7),_xlfn.XLOOKUP(M$1,Capacity!$D$3:$D$7,Capacity!$F$3:$F$7)-R16,0)</f>
        <v>0</v>
      </c>
      <c r="N16">
        <f>IF(S16&lt;_xlfn.XLOOKUP(N$1,Capacity!$D$3:$D$7,Capacity!$E$3:$E$7),_xlfn.XLOOKUP(N$1,Capacity!$D$3:$D$7,Capacity!$F$3:$F$7)-S16,0)</f>
        <v>0</v>
      </c>
      <c r="O16">
        <f>IF(T16&lt;_xlfn.XLOOKUP(O$1,Capacity!$D$3:$D$7,Capacity!$E$3:$E$7),_xlfn.XLOOKUP(O$1,Capacity!$D$3:$D$7,Capacity!$F$3:$F$7)-T16,0)</f>
        <v>0</v>
      </c>
      <c r="P16">
        <f>IF(U16&lt;_xlfn.XLOOKUP(P$1,Capacity!$D$3:$D$7,Capacity!$E$3:$E$7),_xlfn.XLOOKUP(P$1,Capacity!$D$3:$D$7,Capacity!$F$3:$F$7)-U16,0)</f>
        <v>0</v>
      </c>
      <c r="Q16">
        <f t="shared" si="1"/>
        <v>8296</v>
      </c>
      <c r="R16">
        <f t="shared" si="2"/>
        <v>1400</v>
      </c>
      <c r="S16">
        <f t="shared" si="3"/>
        <v>4011</v>
      </c>
      <c r="T16">
        <f t="shared" si="4"/>
        <v>2900</v>
      </c>
      <c r="U16">
        <f t="shared" si="5"/>
        <v>1900</v>
      </c>
    </row>
    <row r="17" spans="1:21">
      <c r="A17" s="5">
        <f t="shared" si="6"/>
        <v>46038</v>
      </c>
      <c r="B17">
        <f>SUMIFS('Demand Projection'!$D$2:$D$169,'Demand Projection'!$B$2:$B$169,B$1,'Demand Projection'!$C$2:$C$169,$A17)</f>
        <v>0</v>
      </c>
      <c r="C17">
        <f>SUMIFS('Demand Projection'!$D$2:$D$169,'Demand Projection'!$B$2:$B$169,C$1,'Demand Projection'!$C$2:$C$169,$A17)</f>
        <v>0</v>
      </c>
      <c r="D17">
        <f>SUMIFS('Demand Projection'!$D$2:$D$169,'Demand Projection'!$B$2:$B$169,D$1,'Demand Projection'!$C$2:$C$169,$A17)</f>
        <v>0</v>
      </c>
      <c r="E17">
        <f>SUMIFS('Demand Projection'!$D$2:$D$169,'Demand Projection'!$B$2:$B$169,E$1,'Demand Projection'!$C$2:$C$169,$A17)</f>
        <v>0</v>
      </c>
      <c r="F17">
        <f>SUMIFS('Demand Projection'!$D$2:$D$169,'Demand Projection'!$B$2:$B$169,F$1,'Demand Projection'!$C$2:$C$169,$A17)</f>
        <v>0</v>
      </c>
      <c r="G17" cm="1">
        <f t="array" ref="G17">Q16+IF(ROW()-3&lt;2,0,INDEX(L:L,ROW()-3))</f>
        <v>8296</v>
      </c>
      <c r="H17" cm="1">
        <f t="array" ref="H17">R16+IF(ROW()-3&lt;2,0,INDEX(M:M,ROW()-3))</f>
        <v>1400</v>
      </c>
      <c r="I17" cm="1">
        <f t="array" ref="I17">S16+IF(ROW()-3&lt;2,0,INDEX(N:N,ROW()-3))</f>
        <v>4011</v>
      </c>
      <c r="J17" cm="1">
        <f t="array" ref="J17">T16+IF(ROW()-3&lt;2,0,INDEX(O:O,ROW()-3))</f>
        <v>2900</v>
      </c>
      <c r="K17" cm="1">
        <f t="array" ref="K17">U16+IF(ROW()-3&lt;2,0,INDEX(P:P,ROW()-3))</f>
        <v>1900</v>
      </c>
      <c r="L17">
        <f>IF(Q17&lt;_xlfn.XLOOKUP(L$1,Capacity!$D$3:$D$7,Capacity!$E$3:$E$7),_xlfn.XLOOKUP(L$1,Capacity!$D$3:$D$7,Capacity!$F$3:$F$7)-Q17,0)</f>
        <v>0</v>
      </c>
      <c r="M17">
        <f>IF(R17&lt;_xlfn.XLOOKUP(M$1,Capacity!$D$3:$D$7,Capacity!$E$3:$E$7),_xlfn.XLOOKUP(M$1,Capacity!$D$3:$D$7,Capacity!$F$3:$F$7)-R17,0)</f>
        <v>0</v>
      </c>
      <c r="N17">
        <f>IF(S17&lt;_xlfn.XLOOKUP(N$1,Capacity!$D$3:$D$7,Capacity!$E$3:$E$7),_xlfn.XLOOKUP(N$1,Capacity!$D$3:$D$7,Capacity!$F$3:$F$7)-S17,0)</f>
        <v>0</v>
      </c>
      <c r="O17">
        <f>IF(T17&lt;_xlfn.XLOOKUP(O$1,Capacity!$D$3:$D$7,Capacity!$E$3:$E$7),_xlfn.XLOOKUP(O$1,Capacity!$D$3:$D$7,Capacity!$F$3:$F$7)-T17,0)</f>
        <v>0</v>
      </c>
      <c r="P17">
        <f>IF(U17&lt;_xlfn.XLOOKUP(P$1,Capacity!$D$3:$D$7,Capacity!$E$3:$E$7),_xlfn.XLOOKUP(P$1,Capacity!$D$3:$D$7,Capacity!$F$3:$F$7)-U17,0)</f>
        <v>0</v>
      </c>
      <c r="Q17">
        <f t="shared" si="1"/>
        <v>8296</v>
      </c>
      <c r="R17">
        <f t="shared" si="2"/>
        <v>1400</v>
      </c>
      <c r="S17">
        <f t="shared" si="3"/>
        <v>4011</v>
      </c>
      <c r="T17">
        <f t="shared" si="4"/>
        <v>2900</v>
      </c>
      <c r="U17">
        <f t="shared" si="5"/>
        <v>1900</v>
      </c>
    </row>
    <row r="18" spans="1:21">
      <c r="A18" s="5">
        <f t="shared" si="6"/>
        <v>46039</v>
      </c>
      <c r="B18">
        <f>SUMIFS('Demand Projection'!$D$2:$D$169,'Demand Projection'!$B$2:$B$169,B$1,'Demand Projection'!$C$2:$C$169,$A18)</f>
        <v>0</v>
      </c>
      <c r="C18">
        <f>SUMIFS('Demand Projection'!$D$2:$D$169,'Demand Projection'!$B$2:$B$169,C$1,'Demand Projection'!$C$2:$C$169,$A18)</f>
        <v>0</v>
      </c>
      <c r="D18">
        <f>SUMIFS('Demand Projection'!$D$2:$D$169,'Demand Projection'!$B$2:$B$169,D$1,'Demand Projection'!$C$2:$C$169,$A18)</f>
        <v>0</v>
      </c>
      <c r="E18">
        <f>SUMIFS('Demand Projection'!$D$2:$D$169,'Demand Projection'!$B$2:$B$169,E$1,'Demand Projection'!$C$2:$C$169,$A18)</f>
        <v>900</v>
      </c>
      <c r="F18">
        <f>SUMIFS('Demand Projection'!$D$2:$D$169,'Demand Projection'!$B$2:$B$169,F$1,'Demand Projection'!$C$2:$C$169,$A18)</f>
        <v>0</v>
      </c>
      <c r="G18" cm="1">
        <f t="array" ref="G18">Q17+IF(ROW()-3&lt;2,0,INDEX(L:L,ROW()-3))</f>
        <v>8296</v>
      </c>
      <c r="H18" cm="1">
        <f t="array" ref="H18">R17+IF(ROW()-3&lt;2,0,INDEX(M:M,ROW()-3))</f>
        <v>1400</v>
      </c>
      <c r="I18" cm="1">
        <f t="array" ref="I18">S17+IF(ROW()-3&lt;2,0,INDEX(N:N,ROW()-3))</f>
        <v>4011</v>
      </c>
      <c r="J18" cm="1">
        <f t="array" ref="J18">T17+IF(ROW()-3&lt;2,0,INDEX(O:O,ROW()-3))</f>
        <v>2900</v>
      </c>
      <c r="K18" cm="1">
        <f t="array" ref="K18">U17+IF(ROW()-3&lt;2,0,INDEX(P:P,ROW()-3))</f>
        <v>1900</v>
      </c>
      <c r="L18">
        <f>IF(Q18&lt;_xlfn.XLOOKUP(L$1,Capacity!$D$3:$D$7,Capacity!$E$3:$E$7),_xlfn.XLOOKUP(L$1,Capacity!$D$3:$D$7,Capacity!$F$3:$F$7)-Q18,0)</f>
        <v>0</v>
      </c>
      <c r="M18">
        <f>IF(R18&lt;_xlfn.XLOOKUP(M$1,Capacity!$D$3:$D$7,Capacity!$E$3:$E$7),_xlfn.XLOOKUP(M$1,Capacity!$D$3:$D$7,Capacity!$F$3:$F$7)-R18,0)</f>
        <v>0</v>
      </c>
      <c r="N18">
        <f>IF(S18&lt;_xlfn.XLOOKUP(N$1,Capacity!$D$3:$D$7,Capacity!$E$3:$E$7),_xlfn.XLOOKUP(N$1,Capacity!$D$3:$D$7,Capacity!$F$3:$F$7)-S18,0)</f>
        <v>0</v>
      </c>
      <c r="O18">
        <f>IF(T18&lt;_xlfn.XLOOKUP(O$1,Capacity!$D$3:$D$7,Capacity!$E$3:$E$7),_xlfn.XLOOKUP(O$1,Capacity!$D$3:$D$7,Capacity!$F$3:$F$7)-T18,0)</f>
        <v>0</v>
      </c>
      <c r="P18">
        <f>IF(U18&lt;_xlfn.XLOOKUP(P$1,Capacity!$D$3:$D$7,Capacity!$E$3:$E$7),_xlfn.XLOOKUP(P$1,Capacity!$D$3:$D$7,Capacity!$F$3:$F$7)-U18,0)</f>
        <v>0</v>
      </c>
      <c r="Q18">
        <f t="shared" si="1"/>
        <v>8296</v>
      </c>
      <c r="R18">
        <f t="shared" si="2"/>
        <v>1400</v>
      </c>
      <c r="S18">
        <f t="shared" si="3"/>
        <v>4011</v>
      </c>
      <c r="T18">
        <f t="shared" si="4"/>
        <v>2000</v>
      </c>
      <c r="U18">
        <f t="shared" si="5"/>
        <v>1900</v>
      </c>
    </row>
    <row r="19" spans="1:21">
      <c r="A19" s="5">
        <f t="shared" si="6"/>
        <v>46040</v>
      </c>
      <c r="B19">
        <f>SUMIFS('Demand Projection'!$D$2:$D$169,'Demand Projection'!$B$2:$B$169,B$1,'Demand Projection'!$C$2:$C$169,$A19)</f>
        <v>0</v>
      </c>
      <c r="C19">
        <f>SUMIFS('Demand Projection'!$D$2:$D$169,'Demand Projection'!$B$2:$B$169,C$1,'Demand Projection'!$C$2:$C$169,$A19)</f>
        <v>0</v>
      </c>
      <c r="D19">
        <f>SUMIFS('Demand Projection'!$D$2:$D$169,'Demand Projection'!$B$2:$B$169,D$1,'Demand Projection'!$C$2:$C$169,$A19)</f>
        <v>0</v>
      </c>
      <c r="E19">
        <f>SUMIFS('Demand Projection'!$D$2:$D$169,'Demand Projection'!$B$2:$B$169,E$1,'Demand Projection'!$C$2:$C$169,$A19)</f>
        <v>0</v>
      </c>
      <c r="F19">
        <f>SUMIFS('Demand Projection'!$D$2:$D$169,'Demand Projection'!$B$2:$B$169,F$1,'Demand Projection'!$C$2:$C$169,$A19)</f>
        <v>0</v>
      </c>
      <c r="G19" cm="1">
        <f t="array" ref="G19">Q18+IF(ROW()-3&lt;2,0,INDEX(L:L,ROW()-3))</f>
        <v>8296</v>
      </c>
      <c r="H19" cm="1">
        <f t="array" ref="H19">R18+IF(ROW()-3&lt;2,0,INDEX(M:M,ROW()-3))</f>
        <v>1400</v>
      </c>
      <c r="I19" cm="1">
        <f t="array" ref="I19">S18+IF(ROW()-3&lt;2,0,INDEX(N:N,ROW()-3))</f>
        <v>4011</v>
      </c>
      <c r="J19" cm="1">
        <f t="array" ref="J19">T18+IF(ROW()-3&lt;2,0,INDEX(O:O,ROW()-3))</f>
        <v>2000</v>
      </c>
      <c r="K19" cm="1">
        <f t="array" ref="K19">U18+IF(ROW()-3&lt;2,0,INDEX(P:P,ROW()-3))</f>
        <v>1900</v>
      </c>
      <c r="L19">
        <f>IF(Q19&lt;_xlfn.XLOOKUP(L$1,Capacity!$D$3:$D$7,Capacity!$E$3:$E$7),_xlfn.XLOOKUP(L$1,Capacity!$D$3:$D$7,Capacity!$F$3:$F$7)-Q19,0)</f>
        <v>0</v>
      </c>
      <c r="M19">
        <f>IF(R19&lt;_xlfn.XLOOKUP(M$1,Capacity!$D$3:$D$7,Capacity!$E$3:$E$7),_xlfn.XLOOKUP(M$1,Capacity!$D$3:$D$7,Capacity!$F$3:$F$7)-R19,0)</f>
        <v>0</v>
      </c>
      <c r="N19">
        <f>IF(S19&lt;_xlfn.XLOOKUP(N$1,Capacity!$D$3:$D$7,Capacity!$E$3:$E$7),_xlfn.XLOOKUP(N$1,Capacity!$D$3:$D$7,Capacity!$F$3:$F$7)-S19,0)</f>
        <v>0</v>
      </c>
      <c r="O19">
        <f>IF(T19&lt;_xlfn.XLOOKUP(O$1,Capacity!$D$3:$D$7,Capacity!$E$3:$E$7),_xlfn.XLOOKUP(O$1,Capacity!$D$3:$D$7,Capacity!$F$3:$F$7)-T19,0)</f>
        <v>0</v>
      </c>
      <c r="P19">
        <f>IF(U19&lt;_xlfn.XLOOKUP(P$1,Capacity!$D$3:$D$7,Capacity!$E$3:$E$7),_xlfn.XLOOKUP(P$1,Capacity!$D$3:$D$7,Capacity!$F$3:$F$7)-U19,0)</f>
        <v>0</v>
      </c>
      <c r="Q19">
        <f t="shared" si="1"/>
        <v>8296</v>
      </c>
      <c r="R19">
        <f t="shared" si="2"/>
        <v>1400</v>
      </c>
      <c r="S19">
        <f t="shared" si="3"/>
        <v>4011</v>
      </c>
      <c r="T19">
        <f t="shared" si="4"/>
        <v>2000</v>
      </c>
      <c r="U19">
        <f t="shared" si="5"/>
        <v>1900</v>
      </c>
    </row>
    <row r="20" spans="1:21">
      <c r="A20" s="5">
        <f t="shared" si="6"/>
        <v>46041</v>
      </c>
      <c r="B20">
        <f>SUMIFS('Demand Projection'!$D$2:$D$169,'Demand Projection'!$B$2:$B$169,B$1,'Demand Projection'!$C$2:$C$169,$A20)</f>
        <v>0</v>
      </c>
      <c r="C20">
        <f>SUMIFS('Demand Projection'!$D$2:$D$169,'Demand Projection'!$B$2:$B$169,C$1,'Demand Projection'!$C$2:$C$169,$A20)</f>
        <v>0</v>
      </c>
      <c r="D20">
        <f>SUMIFS('Demand Projection'!$D$2:$D$169,'Demand Projection'!$B$2:$B$169,D$1,'Demand Projection'!$C$2:$C$169,$A20)</f>
        <v>0</v>
      </c>
      <c r="E20">
        <f>SUMIFS('Demand Projection'!$D$2:$D$169,'Demand Projection'!$B$2:$B$169,E$1,'Demand Projection'!$C$2:$C$169,$A20)</f>
        <v>0</v>
      </c>
      <c r="F20">
        <f>SUMIFS('Demand Projection'!$D$2:$D$169,'Demand Projection'!$B$2:$B$169,F$1,'Demand Projection'!$C$2:$C$169,$A20)</f>
        <v>0</v>
      </c>
      <c r="G20" cm="1">
        <f t="array" ref="G20">Q19+IF(ROW()-3&lt;2,0,INDEX(L:L,ROW()-3))</f>
        <v>8296</v>
      </c>
      <c r="H20" cm="1">
        <f t="array" ref="H20">R19+IF(ROW()-3&lt;2,0,INDEX(M:M,ROW()-3))</f>
        <v>1400</v>
      </c>
      <c r="I20" cm="1">
        <f t="array" ref="I20">S19+IF(ROW()-3&lt;2,0,INDEX(N:N,ROW()-3))</f>
        <v>4011</v>
      </c>
      <c r="J20" cm="1">
        <f t="array" ref="J20">T19+IF(ROW()-3&lt;2,0,INDEX(O:O,ROW()-3))</f>
        <v>2000</v>
      </c>
      <c r="K20" cm="1">
        <f t="array" ref="K20">U19+IF(ROW()-3&lt;2,0,INDEX(P:P,ROW()-3))</f>
        <v>1900</v>
      </c>
      <c r="L20">
        <f>IF(Q20&lt;_xlfn.XLOOKUP(L$1,Capacity!$D$3:$D$7,Capacity!$E$3:$E$7),_xlfn.XLOOKUP(L$1,Capacity!$D$3:$D$7,Capacity!$F$3:$F$7)-Q20,0)</f>
        <v>0</v>
      </c>
      <c r="M20">
        <f>IF(R20&lt;_xlfn.XLOOKUP(M$1,Capacity!$D$3:$D$7,Capacity!$E$3:$E$7),_xlfn.XLOOKUP(M$1,Capacity!$D$3:$D$7,Capacity!$F$3:$F$7)-R20,0)</f>
        <v>0</v>
      </c>
      <c r="N20">
        <f>IF(S20&lt;_xlfn.XLOOKUP(N$1,Capacity!$D$3:$D$7,Capacity!$E$3:$E$7),_xlfn.XLOOKUP(N$1,Capacity!$D$3:$D$7,Capacity!$F$3:$F$7)-S20,0)</f>
        <v>0</v>
      </c>
      <c r="O20">
        <f>IF(T20&lt;_xlfn.XLOOKUP(O$1,Capacity!$D$3:$D$7,Capacity!$E$3:$E$7),_xlfn.XLOOKUP(O$1,Capacity!$D$3:$D$7,Capacity!$F$3:$F$7)-T20,0)</f>
        <v>0</v>
      </c>
      <c r="P20">
        <f>IF(U20&lt;_xlfn.XLOOKUP(P$1,Capacity!$D$3:$D$7,Capacity!$E$3:$E$7),_xlfn.XLOOKUP(P$1,Capacity!$D$3:$D$7,Capacity!$F$3:$F$7)-U20,0)</f>
        <v>0</v>
      </c>
      <c r="Q20">
        <f t="shared" si="1"/>
        <v>8296</v>
      </c>
      <c r="R20">
        <f t="shared" si="2"/>
        <v>1400</v>
      </c>
      <c r="S20">
        <f t="shared" si="3"/>
        <v>4011</v>
      </c>
      <c r="T20">
        <f t="shared" si="4"/>
        <v>2000</v>
      </c>
      <c r="U20">
        <f t="shared" si="5"/>
        <v>1900</v>
      </c>
    </row>
    <row r="21" spans="1:21">
      <c r="A21" s="5">
        <f t="shared" si="6"/>
        <v>46042</v>
      </c>
      <c r="B21">
        <f>SUMIFS('Demand Projection'!$D$2:$D$169,'Demand Projection'!$B$2:$B$169,B$1,'Demand Projection'!$C$2:$C$169,$A21)</f>
        <v>0</v>
      </c>
      <c r="C21">
        <f>SUMIFS('Demand Projection'!$D$2:$D$169,'Demand Projection'!$B$2:$B$169,C$1,'Demand Projection'!$C$2:$C$169,$A21)</f>
        <v>0</v>
      </c>
      <c r="D21">
        <f>SUMIFS('Demand Projection'!$D$2:$D$169,'Demand Projection'!$B$2:$B$169,D$1,'Demand Projection'!$C$2:$C$169,$A21)</f>
        <v>800</v>
      </c>
      <c r="E21">
        <f>SUMIFS('Demand Projection'!$D$2:$D$169,'Demand Projection'!$B$2:$B$169,E$1,'Demand Projection'!$C$2:$C$169,$A21)</f>
        <v>0</v>
      </c>
      <c r="F21">
        <f>SUMIFS('Demand Projection'!$D$2:$D$169,'Demand Projection'!$B$2:$B$169,F$1,'Demand Projection'!$C$2:$C$169,$A21)</f>
        <v>0</v>
      </c>
      <c r="G21" cm="1">
        <f t="array" ref="G21">Q20+IF(ROW()-3&lt;2,0,INDEX(L:L,ROW()-3))</f>
        <v>8296</v>
      </c>
      <c r="H21" cm="1">
        <f t="array" ref="H21">R20+IF(ROW()-3&lt;2,0,INDEX(M:M,ROW()-3))</f>
        <v>1400</v>
      </c>
      <c r="I21" cm="1">
        <f t="array" ref="I21">S20+IF(ROW()-3&lt;2,0,INDEX(N:N,ROW()-3))</f>
        <v>4011</v>
      </c>
      <c r="J21" cm="1">
        <f t="array" ref="J21">T20+IF(ROW()-3&lt;2,0,INDEX(O:O,ROW()-3))</f>
        <v>2000</v>
      </c>
      <c r="K21" cm="1">
        <f t="array" ref="K21">U20+IF(ROW()-3&lt;2,0,INDEX(P:P,ROW()-3))</f>
        <v>1900</v>
      </c>
      <c r="L21">
        <f>IF(Q21&lt;_xlfn.XLOOKUP(L$1,Capacity!$D$3:$D$7,Capacity!$E$3:$E$7),_xlfn.XLOOKUP(L$1,Capacity!$D$3:$D$7,Capacity!$F$3:$F$7)-Q21,0)</f>
        <v>0</v>
      </c>
      <c r="M21">
        <f>IF(R21&lt;_xlfn.XLOOKUP(M$1,Capacity!$D$3:$D$7,Capacity!$E$3:$E$7),_xlfn.XLOOKUP(M$1,Capacity!$D$3:$D$7,Capacity!$F$3:$F$7)-R21,0)</f>
        <v>0</v>
      </c>
      <c r="N21">
        <f>IF(S21&lt;_xlfn.XLOOKUP(N$1,Capacity!$D$3:$D$7,Capacity!$E$3:$E$7),_xlfn.XLOOKUP(N$1,Capacity!$D$3:$D$7,Capacity!$F$3:$F$7)-S21,0)</f>
        <v>0</v>
      </c>
      <c r="O21">
        <f>IF(T21&lt;_xlfn.XLOOKUP(O$1,Capacity!$D$3:$D$7,Capacity!$E$3:$E$7),_xlfn.XLOOKUP(O$1,Capacity!$D$3:$D$7,Capacity!$F$3:$F$7)-T21,0)</f>
        <v>0</v>
      </c>
      <c r="P21">
        <f>IF(U21&lt;_xlfn.XLOOKUP(P$1,Capacity!$D$3:$D$7,Capacity!$E$3:$E$7),_xlfn.XLOOKUP(P$1,Capacity!$D$3:$D$7,Capacity!$F$3:$F$7)-U21,0)</f>
        <v>0</v>
      </c>
      <c r="Q21">
        <f t="shared" si="1"/>
        <v>8296</v>
      </c>
      <c r="R21">
        <f t="shared" si="2"/>
        <v>1400</v>
      </c>
      <c r="S21">
        <f t="shared" si="3"/>
        <v>3211</v>
      </c>
      <c r="T21">
        <f t="shared" si="4"/>
        <v>2000</v>
      </c>
      <c r="U21">
        <f t="shared" si="5"/>
        <v>1900</v>
      </c>
    </row>
    <row r="22" spans="1:21">
      <c r="A22" s="5">
        <f t="shared" si="6"/>
        <v>46043</v>
      </c>
      <c r="B22">
        <f>SUMIFS('Demand Projection'!$D$2:$D$169,'Demand Projection'!$B$2:$B$169,B$1,'Demand Projection'!$C$2:$C$169,$A22)</f>
        <v>0</v>
      </c>
      <c r="C22">
        <f>SUMIFS('Demand Projection'!$D$2:$D$169,'Demand Projection'!$B$2:$B$169,C$1,'Demand Projection'!$C$2:$C$169,$A22)</f>
        <v>0</v>
      </c>
      <c r="D22">
        <f>SUMIFS('Demand Projection'!$D$2:$D$169,'Demand Projection'!$B$2:$B$169,D$1,'Demand Projection'!$C$2:$C$169,$A22)</f>
        <v>0</v>
      </c>
      <c r="E22">
        <f>SUMIFS('Demand Projection'!$D$2:$D$169,'Demand Projection'!$B$2:$B$169,E$1,'Demand Projection'!$C$2:$C$169,$A22)</f>
        <v>0</v>
      </c>
      <c r="F22">
        <f>SUMIFS('Demand Projection'!$D$2:$D$169,'Demand Projection'!$B$2:$B$169,F$1,'Demand Projection'!$C$2:$C$169,$A22)</f>
        <v>0</v>
      </c>
      <c r="G22" cm="1">
        <f t="array" ref="G22">Q21+IF(ROW()-3&lt;2,0,INDEX(L:L,ROW()-3))</f>
        <v>8296</v>
      </c>
      <c r="H22" cm="1">
        <f t="array" ref="H22">R21+IF(ROW()-3&lt;2,0,INDEX(M:M,ROW()-3))</f>
        <v>1400</v>
      </c>
      <c r="I22" cm="1">
        <f t="array" ref="I22">S21+IF(ROW()-3&lt;2,0,INDEX(N:N,ROW()-3))</f>
        <v>3211</v>
      </c>
      <c r="J22" cm="1">
        <f t="array" ref="J22">T21+IF(ROW()-3&lt;2,0,INDEX(O:O,ROW()-3))</f>
        <v>2000</v>
      </c>
      <c r="K22" cm="1">
        <f t="array" ref="K22">U21+IF(ROW()-3&lt;2,0,INDEX(P:P,ROW()-3))</f>
        <v>1900</v>
      </c>
      <c r="L22">
        <f>IF(Q22&lt;_xlfn.XLOOKUP(L$1,Capacity!$D$3:$D$7,Capacity!$E$3:$E$7),_xlfn.XLOOKUP(L$1,Capacity!$D$3:$D$7,Capacity!$F$3:$F$7)-Q22,0)</f>
        <v>0</v>
      </c>
      <c r="M22">
        <f>IF(R22&lt;_xlfn.XLOOKUP(M$1,Capacity!$D$3:$D$7,Capacity!$E$3:$E$7),_xlfn.XLOOKUP(M$1,Capacity!$D$3:$D$7,Capacity!$F$3:$F$7)-R22,0)</f>
        <v>0</v>
      </c>
      <c r="N22">
        <f>IF(S22&lt;_xlfn.XLOOKUP(N$1,Capacity!$D$3:$D$7,Capacity!$E$3:$E$7),_xlfn.XLOOKUP(N$1,Capacity!$D$3:$D$7,Capacity!$F$3:$F$7)-S22,0)</f>
        <v>0</v>
      </c>
      <c r="O22">
        <f>IF(T22&lt;_xlfn.XLOOKUP(O$1,Capacity!$D$3:$D$7,Capacity!$E$3:$E$7),_xlfn.XLOOKUP(O$1,Capacity!$D$3:$D$7,Capacity!$F$3:$F$7)-T22,0)</f>
        <v>0</v>
      </c>
      <c r="P22">
        <f>IF(U22&lt;_xlfn.XLOOKUP(P$1,Capacity!$D$3:$D$7,Capacity!$E$3:$E$7),_xlfn.XLOOKUP(P$1,Capacity!$D$3:$D$7,Capacity!$F$3:$F$7)-U22,0)</f>
        <v>0</v>
      </c>
      <c r="Q22">
        <f t="shared" si="1"/>
        <v>8296</v>
      </c>
      <c r="R22">
        <f t="shared" si="2"/>
        <v>1400</v>
      </c>
      <c r="S22">
        <f t="shared" si="3"/>
        <v>3211</v>
      </c>
      <c r="T22">
        <f t="shared" si="4"/>
        <v>2000</v>
      </c>
      <c r="U22">
        <f t="shared" si="5"/>
        <v>1900</v>
      </c>
    </row>
    <row r="23" spans="1:21">
      <c r="A23" s="5">
        <f t="shared" si="6"/>
        <v>46044</v>
      </c>
      <c r="B23">
        <f>SUMIFS('Demand Projection'!$D$2:$D$169,'Demand Projection'!$B$2:$B$169,B$1,'Demand Projection'!$C$2:$C$169,$A23)</f>
        <v>0</v>
      </c>
      <c r="C23">
        <f>SUMIFS('Demand Projection'!$D$2:$D$169,'Demand Projection'!$B$2:$B$169,C$1,'Demand Projection'!$C$2:$C$169,$A23)</f>
        <v>0</v>
      </c>
      <c r="D23">
        <f>SUMIFS('Demand Projection'!$D$2:$D$169,'Demand Projection'!$B$2:$B$169,D$1,'Demand Projection'!$C$2:$C$169,$A23)</f>
        <v>0</v>
      </c>
      <c r="E23">
        <f>SUMIFS('Demand Projection'!$D$2:$D$169,'Demand Projection'!$B$2:$B$169,E$1,'Demand Projection'!$C$2:$C$169,$A23)</f>
        <v>0</v>
      </c>
      <c r="F23">
        <f>SUMIFS('Demand Projection'!$D$2:$D$169,'Demand Projection'!$B$2:$B$169,F$1,'Demand Projection'!$C$2:$C$169,$A23)</f>
        <v>0</v>
      </c>
      <c r="G23" cm="1">
        <f t="array" ref="G23">Q22+IF(ROW()-3&lt;2,0,INDEX(L:L,ROW()-3))</f>
        <v>8296</v>
      </c>
      <c r="H23" cm="1">
        <f t="array" ref="H23">R22+IF(ROW()-3&lt;2,0,INDEX(M:M,ROW()-3))</f>
        <v>1400</v>
      </c>
      <c r="I23" cm="1">
        <f t="array" ref="I23">S22+IF(ROW()-3&lt;2,0,INDEX(N:N,ROW()-3))</f>
        <v>3211</v>
      </c>
      <c r="J23" cm="1">
        <f t="array" ref="J23">T22+IF(ROW()-3&lt;2,0,INDEX(O:O,ROW()-3))</f>
        <v>2000</v>
      </c>
      <c r="K23" cm="1">
        <f t="array" ref="K23">U22+IF(ROW()-3&lt;2,0,INDEX(P:P,ROW()-3))</f>
        <v>1900</v>
      </c>
      <c r="L23">
        <f>IF(Q23&lt;_xlfn.XLOOKUP(L$1,Capacity!$D$3:$D$7,Capacity!$E$3:$E$7),_xlfn.XLOOKUP(L$1,Capacity!$D$3:$D$7,Capacity!$F$3:$F$7)-Q23,0)</f>
        <v>0</v>
      </c>
      <c r="M23">
        <f>IF(R23&lt;_xlfn.XLOOKUP(M$1,Capacity!$D$3:$D$7,Capacity!$E$3:$E$7),_xlfn.XLOOKUP(M$1,Capacity!$D$3:$D$7,Capacity!$F$3:$F$7)-R23,0)</f>
        <v>0</v>
      </c>
      <c r="N23">
        <f>IF(S23&lt;_xlfn.XLOOKUP(N$1,Capacity!$D$3:$D$7,Capacity!$E$3:$E$7),_xlfn.XLOOKUP(N$1,Capacity!$D$3:$D$7,Capacity!$F$3:$F$7)-S23,0)</f>
        <v>0</v>
      </c>
      <c r="O23">
        <f>IF(T23&lt;_xlfn.XLOOKUP(O$1,Capacity!$D$3:$D$7,Capacity!$E$3:$E$7),_xlfn.XLOOKUP(O$1,Capacity!$D$3:$D$7,Capacity!$F$3:$F$7)-T23,0)</f>
        <v>0</v>
      </c>
      <c r="P23">
        <f>IF(U23&lt;_xlfn.XLOOKUP(P$1,Capacity!$D$3:$D$7,Capacity!$E$3:$E$7),_xlfn.XLOOKUP(P$1,Capacity!$D$3:$D$7,Capacity!$F$3:$F$7)-U23,0)</f>
        <v>0</v>
      </c>
      <c r="Q23">
        <f t="shared" si="1"/>
        <v>8296</v>
      </c>
      <c r="R23">
        <f t="shared" si="2"/>
        <v>1400</v>
      </c>
      <c r="S23">
        <f t="shared" si="3"/>
        <v>3211</v>
      </c>
      <c r="T23">
        <f t="shared" si="4"/>
        <v>2000</v>
      </c>
      <c r="U23">
        <f t="shared" si="5"/>
        <v>1900</v>
      </c>
    </row>
    <row r="24" spans="1:21">
      <c r="A24" s="5">
        <f t="shared" si="6"/>
        <v>46045</v>
      </c>
      <c r="B24">
        <f>SUMIFS('Demand Projection'!$D$2:$D$169,'Demand Projection'!$B$2:$B$169,B$1,'Demand Projection'!$C$2:$C$169,$A24)</f>
        <v>0</v>
      </c>
      <c r="C24">
        <f>SUMIFS('Demand Projection'!$D$2:$D$169,'Demand Projection'!$B$2:$B$169,C$1,'Demand Projection'!$C$2:$C$169,$A24)</f>
        <v>0</v>
      </c>
      <c r="D24">
        <f>SUMIFS('Demand Projection'!$D$2:$D$169,'Demand Projection'!$B$2:$B$169,D$1,'Demand Projection'!$C$2:$C$169,$A24)</f>
        <v>0</v>
      </c>
      <c r="E24">
        <f>SUMIFS('Demand Projection'!$D$2:$D$169,'Demand Projection'!$B$2:$B$169,E$1,'Demand Projection'!$C$2:$C$169,$A24)</f>
        <v>0</v>
      </c>
      <c r="F24">
        <f>SUMIFS('Demand Projection'!$D$2:$D$169,'Demand Projection'!$B$2:$B$169,F$1,'Demand Projection'!$C$2:$C$169,$A24)</f>
        <v>0</v>
      </c>
      <c r="G24" cm="1">
        <f t="array" ref="G24">Q23+IF(ROW()-3&lt;2,0,INDEX(L:L,ROW()-3))</f>
        <v>8296</v>
      </c>
      <c r="H24" cm="1">
        <f t="array" ref="H24">R23+IF(ROW()-3&lt;2,0,INDEX(M:M,ROW()-3))</f>
        <v>1400</v>
      </c>
      <c r="I24" cm="1">
        <f t="array" ref="I24">S23+IF(ROW()-3&lt;2,0,INDEX(N:N,ROW()-3))</f>
        <v>3211</v>
      </c>
      <c r="J24" cm="1">
        <f t="array" ref="J24">T23+IF(ROW()-3&lt;2,0,INDEX(O:O,ROW()-3))</f>
        <v>2000</v>
      </c>
      <c r="K24" cm="1">
        <f t="array" ref="K24">U23+IF(ROW()-3&lt;2,0,INDEX(P:P,ROW()-3))</f>
        <v>1900</v>
      </c>
      <c r="L24">
        <f>IF(Q24&lt;_xlfn.XLOOKUP(L$1,Capacity!$D$3:$D$7,Capacity!$E$3:$E$7),_xlfn.XLOOKUP(L$1,Capacity!$D$3:$D$7,Capacity!$F$3:$F$7)-Q24,0)</f>
        <v>0</v>
      </c>
      <c r="M24">
        <f>IF(R24&lt;_xlfn.XLOOKUP(M$1,Capacity!$D$3:$D$7,Capacity!$E$3:$E$7),_xlfn.XLOOKUP(M$1,Capacity!$D$3:$D$7,Capacity!$F$3:$F$7)-R24,0)</f>
        <v>0</v>
      </c>
      <c r="N24">
        <f>IF(S24&lt;_xlfn.XLOOKUP(N$1,Capacity!$D$3:$D$7,Capacity!$E$3:$E$7),_xlfn.XLOOKUP(N$1,Capacity!$D$3:$D$7,Capacity!$F$3:$F$7)-S24,0)</f>
        <v>0</v>
      </c>
      <c r="O24">
        <f>IF(T24&lt;_xlfn.XLOOKUP(O$1,Capacity!$D$3:$D$7,Capacity!$E$3:$E$7),_xlfn.XLOOKUP(O$1,Capacity!$D$3:$D$7,Capacity!$F$3:$F$7)-T24,0)</f>
        <v>0</v>
      </c>
      <c r="P24">
        <f>IF(U24&lt;_xlfn.XLOOKUP(P$1,Capacity!$D$3:$D$7,Capacity!$E$3:$E$7),_xlfn.XLOOKUP(P$1,Capacity!$D$3:$D$7,Capacity!$F$3:$F$7)-U24,0)</f>
        <v>0</v>
      </c>
      <c r="Q24">
        <f t="shared" si="1"/>
        <v>8296</v>
      </c>
      <c r="R24">
        <f t="shared" si="2"/>
        <v>1400</v>
      </c>
      <c r="S24">
        <f t="shared" si="3"/>
        <v>3211</v>
      </c>
      <c r="T24">
        <f t="shared" si="4"/>
        <v>2000</v>
      </c>
      <c r="U24">
        <f t="shared" si="5"/>
        <v>1900</v>
      </c>
    </row>
    <row r="25" spans="1:21">
      <c r="A25" s="5">
        <f t="shared" si="6"/>
        <v>46046</v>
      </c>
      <c r="B25">
        <f>SUMIFS('Demand Projection'!$D$2:$D$169,'Demand Projection'!$B$2:$B$169,B$1,'Demand Projection'!$C$2:$C$169,$A25)</f>
        <v>1000</v>
      </c>
      <c r="C25">
        <f>SUMIFS('Demand Projection'!$D$2:$D$169,'Demand Projection'!$B$2:$B$169,C$1,'Demand Projection'!$C$2:$C$169,$A25)</f>
        <v>0</v>
      </c>
      <c r="D25">
        <f>SUMIFS('Demand Projection'!$D$2:$D$169,'Demand Projection'!$B$2:$B$169,D$1,'Demand Projection'!$C$2:$C$169,$A25)</f>
        <v>0</v>
      </c>
      <c r="E25">
        <f>SUMIFS('Demand Projection'!$D$2:$D$169,'Demand Projection'!$B$2:$B$169,E$1,'Demand Projection'!$C$2:$C$169,$A25)</f>
        <v>0</v>
      </c>
      <c r="F25">
        <f>SUMIFS('Demand Projection'!$D$2:$D$169,'Demand Projection'!$B$2:$B$169,F$1,'Demand Projection'!$C$2:$C$169,$A25)</f>
        <v>0</v>
      </c>
      <c r="G25" cm="1">
        <f t="array" ref="G25">Q24+IF(ROW()-3&lt;2,0,INDEX(L:L,ROW()-3))</f>
        <v>8296</v>
      </c>
      <c r="H25" cm="1">
        <f t="array" ref="H25">R24+IF(ROW()-3&lt;2,0,INDEX(M:M,ROW()-3))</f>
        <v>1400</v>
      </c>
      <c r="I25" cm="1">
        <f t="array" ref="I25">S24+IF(ROW()-3&lt;2,0,INDEX(N:N,ROW()-3))</f>
        <v>3211</v>
      </c>
      <c r="J25" cm="1">
        <f t="array" ref="J25">T24+IF(ROW()-3&lt;2,0,INDEX(O:O,ROW()-3))</f>
        <v>2000</v>
      </c>
      <c r="K25" cm="1">
        <f t="array" ref="K25">U24+IF(ROW()-3&lt;2,0,INDEX(P:P,ROW()-3))</f>
        <v>1900</v>
      </c>
      <c r="L25">
        <f>IF(Q25&lt;_xlfn.XLOOKUP(L$1,Capacity!$D$3:$D$7,Capacity!$E$3:$E$7),_xlfn.XLOOKUP(L$1,Capacity!$D$3:$D$7,Capacity!$F$3:$F$7)-Q25,0)</f>
        <v>0</v>
      </c>
      <c r="M25">
        <f>IF(R25&lt;_xlfn.XLOOKUP(M$1,Capacity!$D$3:$D$7,Capacity!$E$3:$E$7),_xlfn.XLOOKUP(M$1,Capacity!$D$3:$D$7,Capacity!$F$3:$F$7)-R25,0)</f>
        <v>0</v>
      </c>
      <c r="N25">
        <f>IF(S25&lt;_xlfn.XLOOKUP(N$1,Capacity!$D$3:$D$7,Capacity!$E$3:$E$7),_xlfn.XLOOKUP(N$1,Capacity!$D$3:$D$7,Capacity!$F$3:$F$7)-S25,0)</f>
        <v>0</v>
      </c>
      <c r="O25">
        <f>IF(T25&lt;_xlfn.XLOOKUP(O$1,Capacity!$D$3:$D$7,Capacity!$E$3:$E$7),_xlfn.XLOOKUP(O$1,Capacity!$D$3:$D$7,Capacity!$F$3:$F$7)-T25,0)</f>
        <v>0</v>
      </c>
      <c r="P25">
        <f>IF(U25&lt;_xlfn.XLOOKUP(P$1,Capacity!$D$3:$D$7,Capacity!$E$3:$E$7),_xlfn.XLOOKUP(P$1,Capacity!$D$3:$D$7,Capacity!$F$3:$F$7)-U25,0)</f>
        <v>0</v>
      </c>
      <c r="Q25">
        <f t="shared" si="1"/>
        <v>7296</v>
      </c>
      <c r="R25">
        <f t="shared" si="2"/>
        <v>1400</v>
      </c>
      <c r="S25">
        <f t="shared" si="3"/>
        <v>3211</v>
      </c>
      <c r="T25">
        <f t="shared" si="4"/>
        <v>2000</v>
      </c>
      <c r="U25">
        <f t="shared" si="5"/>
        <v>1900</v>
      </c>
    </row>
    <row r="26" spans="1:21">
      <c r="A26" s="5">
        <f t="shared" si="6"/>
        <v>46047</v>
      </c>
      <c r="B26">
        <f>SUMIFS('Demand Projection'!$D$2:$D$169,'Demand Projection'!$B$2:$B$169,B$1,'Demand Projection'!$C$2:$C$169,$A26)</f>
        <v>0</v>
      </c>
      <c r="C26">
        <f>SUMIFS('Demand Projection'!$D$2:$D$169,'Demand Projection'!$B$2:$B$169,C$1,'Demand Projection'!$C$2:$C$169,$A26)</f>
        <v>0</v>
      </c>
      <c r="D26">
        <f>SUMIFS('Demand Projection'!$D$2:$D$169,'Demand Projection'!$B$2:$B$169,D$1,'Demand Projection'!$C$2:$C$169,$A26)</f>
        <v>0</v>
      </c>
      <c r="E26">
        <f>SUMIFS('Demand Projection'!$D$2:$D$169,'Demand Projection'!$B$2:$B$169,E$1,'Demand Projection'!$C$2:$C$169,$A26)</f>
        <v>0</v>
      </c>
      <c r="F26">
        <f>SUMIFS('Demand Projection'!$D$2:$D$169,'Demand Projection'!$B$2:$B$169,F$1,'Demand Projection'!$C$2:$C$169,$A26)</f>
        <v>0</v>
      </c>
      <c r="G26" cm="1">
        <f t="array" ref="G26">Q25+IF(ROW()-3&lt;2,0,INDEX(L:L,ROW()-3))</f>
        <v>7296</v>
      </c>
      <c r="H26" cm="1">
        <f t="array" ref="H26">R25+IF(ROW()-3&lt;2,0,INDEX(M:M,ROW()-3))</f>
        <v>1400</v>
      </c>
      <c r="I26" cm="1">
        <f t="array" ref="I26">S25+IF(ROW()-3&lt;2,0,INDEX(N:N,ROW()-3))</f>
        <v>3211</v>
      </c>
      <c r="J26" cm="1">
        <f t="array" ref="J26">T25+IF(ROW()-3&lt;2,0,INDEX(O:O,ROW()-3))</f>
        <v>2000</v>
      </c>
      <c r="K26" cm="1">
        <f t="array" ref="K26">U25+IF(ROW()-3&lt;2,0,INDEX(P:P,ROW()-3))</f>
        <v>1900</v>
      </c>
      <c r="L26">
        <f>IF(Q26&lt;_xlfn.XLOOKUP(L$1,Capacity!$D$3:$D$7,Capacity!$E$3:$E$7),_xlfn.XLOOKUP(L$1,Capacity!$D$3:$D$7,Capacity!$F$3:$F$7)-Q26,0)</f>
        <v>0</v>
      </c>
      <c r="M26">
        <f>IF(R26&lt;_xlfn.XLOOKUP(M$1,Capacity!$D$3:$D$7,Capacity!$E$3:$E$7),_xlfn.XLOOKUP(M$1,Capacity!$D$3:$D$7,Capacity!$F$3:$F$7)-R26,0)</f>
        <v>0</v>
      </c>
      <c r="N26">
        <f>IF(S26&lt;_xlfn.XLOOKUP(N$1,Capacity!$D$3:$D$7,Capacity!$E$3:$E$7),_xlfn.XLOOKUP(N$1,Capacity!$D$3:$D$7,Capacity!$F$3:$F$7)-S26,0)</f>
        <v>0</v>
      </c>
      <c r="O26">
        <f>IF(T26&lt;_xlfn.XLOOKUP(O$1,Capacity!$D$3:$D$7,Capacity!$E$3:$E$7),_xlfn.XLOOKUP(O$1,Capacity!$D$3:$D$7,Capacity!$F$3:$F$7)-T26,0)</f>
        <v>0</v>
      </c>
      <c r="P26">
        <f>IF(U26&lt;_xlfn.XLOOKUP(P$1,Capacity!$D$3:$D$7,Capacity!$E$3:$E$7),_xlfn.XLOOKUP(P$1,Capacity!$D$3:$D$7,Capacity!$F$3:$F$7)-U26,0)</f>
        <v>0</v>
      </c>
      <c r="Q26">
        <f t="shared" si="1"/>
        <v>7296</v>
      </c>
      <c r="R26">
        <f t="shared" si="2"/>
        <v>1400</v>
      </c>
      <c r="S26">
        <f t="shared" si="3"/>
        <v>3211</v>
      </c>
      <c r="T26">
        <f t="shared" si="4"/>
        <v>2000</v>
      </c>
      <c r="U26">
        <f t="shared" si="5"/>
        <v>1900</v>
      </c>
    </row>
    <row r="27" spans="1:21">
      <c r="A27" s="5">
        <f t="shared" si="6"/>
        <v>46048</v>
      </c>
      <c r="B27">
        <f>SUMIFS('Demand Projection'!$D$2:$D$169,'Demand Projection'!$B$2:$B$169,B$1,'Demand Projection'!$C$2:$C$169,$A27)</f>
        <v>0</v>
      </c>
      <c r="C27">
        <f>SUMIFS('Demand Projection'!$D$2:$D$169,'Demand Projection'!$B$2:$B$169,C$1,'Demand Projection'!$C$2:$C$169,$A27)</f>
        <v>0</v>
      </c>
      <c r="D27">
        <f>SUMIFS('Demand Projection'!$D$2:$D$169,'Demand Projection'!$B$2:$B$169,D$1,'Demand Projection'!$C$2:$C$169,$A27)</f>
        <v>0</v>
      </c>
      <c r="E27">
        <f>SUMIFS('Demand Projection'!$D$2:$D$169,'Demand Projection'!$B$2:$B$169,E$1,'Demand Projection'!$C$2:$C$169,$A27)</f>
        <v>0</v>
      </c>
      <c r="F27">
        <f>SUMIFS('Demand Projection'!$D$2:$D$169,'Demand Projection'!$B$2:$B$169,F$1,'Demand Projection'!$C$2:$C$169,$A27)</f>
        <v>0</v>
      </c>
      <c r="G27" cm="1">
        <f t="array" ref="G27">Q26+IF(ROW()-3&lt;2,0,INDEX(L:L,ROW()-3))</f>
        <v>7296</v>
      </c>
      <c r="H27" cm="1">
        <f t="array" ref="H27">R26+IF(ROW()-3&lt;2,0,INDEX(M:M,ROW()-3))</f>
        <v>1400</v>
      </c>
      <c r="I27" cm="1">
        <f t="array" ref="I27">S26+IF(ROW()-3&lt;2,0,INDEX(N:N,ROW()-3))</f>
        <v>3211</v>
      </c>
      <c r="J27" cm="1">
        <f t="array" ref="J27">T26+IF(ROW()-3&lt;2,0,INDEX(O:O,ROW()-3))</f>
        <v>2000</v>
      </c>
      <c r="K27" cm="1">
        <f t="array" ref="K27">U26+IF(ROW()-3&lt;2,0,INDEX(P:P,ROW()-3))</f>
        <v>1900</v>
      </c>
      <c r="L27">
        <f>IF(Q27&lt;_xlfn.XLOOKUP(L$1,Capacity!$D$3:$D$7,Capacity!$E$3:$E$7),_xlfn.XLOOKUP(L$1,Capacity!$D$3:$D$7,Capacity!$F$3:$F$7)-Q27,0)</f>
        <v>0</v>
      </c>
      <c r="M27">
        <f>IF(R27&lt;_xlfn.XLOOKUP(M$1,Capacity!$D$3:$D$7,Capacity!$E$3:$E$7),_xlfn.XLOOKUP(M$1,Capacity!$D$3:$D$7,Capacity!$F$3:$F$7)-R27,0)</f>
        <v>0</v>
      </c>
      <c r="N27">
        <f>IF(S27&lt;_xlfn.XLOOKUP(N$1,Capacity!$D$3:$D$7,Capacity!$E$3:$E$7),_xlfn.XLOOKUP(N$1,Capacity!$D$3:$D$7,Capacity!$F$3:$F$7)-S27,0)</f>
        <v>0</v>
      </c>
      <c r="O27">
        <f>IF(T27&lt;_xlfn.XLOOKUP(O$1,Capacity!$D$3:$D$7,Capacity!$E$3:$E$7),_xlfn.XLOOKUP(O$1,Capacity!$D$3:$D$7,Capacity!$F$3:$F$7)-T27,0)</f>
        <v>0</v>
      </c>
      <c r="P27">
        <f>IF(U27&lt;_xlfn.XLOOKUP(P$1,Capacity!$D$3:$D$7,Capacity!$E$3:$E$7),_xlfn.XLOOKUP(P$1,Capacity!$D$3:$D$7,Capacity!$F$3:$F$7)-U27,0)</f>
        <v>0</v>
      </c>
      <c r="Q27">
        <f t="shared" si="1"/>
        <v>7296</v>
      </c>
      <c r="R27">
        <f t="shared" si="2"/>
        <v>1400</v>
      </c>
      <c r="S27">
        <f t="shared" si="3"/>
        <v>3211</v>
      </c>
      <c r="T27">
        <f t="shared" si="4"/>
        <v>2000</v>
      </c>
      <c r="U27">
        <f t="shared" si="5"/>
        <v>1900</v>
      </c>
    </row>
    <row r="28" spans="1:21">
      <c r="A28" s="5">
        <f t="shared" si="6"/>
        <v>46049</v>
      </c>
      <c r="B28">
        <f>SUMIFS('Demand Projection'!$D$2:$D$169,'Demand Projection'!$B$2:$B$169,B$1,'Demand Projection'!$C$2:$C$169,$A28)</f>
        <v>0</v>
      </c>
      <c r="C28">
        <f>SUMIFS('Demand Projection'!$D$2:$D$169,'Demand Projection'!$B$2:$B$169,C$1,'Demand Projection'!$C$2:$C$169,$A28)</f>
        <v>0</v>
      </c>
      <c r="D28">
        <f>SUMIFS('Demand Projection'!$D$2:$D$169,'Demand Projection'!$B$2:$B$169,D$1,'Demand Projection'!$C$2:$C$169,$A28)</f>
        <v>0</v>
      </c>
      <c r="E28">
        <f>SUMIFS('Demand Projection'!$D$2:$D$169,'Demand Projection'!$B$2:$B$169,E$1,'Demand Projection'!$C$2:$C$169,$A28)</f>
        <v>0</v>
      </c>
      <c r="F28">
        <f>SUMIFS('Demand Projection'!$D$2:$D$169,'Demand Projection'!$B$2:$B$169,F$1,'Demand Projection'!$C$2:$C$169,$A28)</f>
        <v>0</v>
      </c>
      <c r="G28" cm="1">
        <f t="array" ref="G28">Q27+IF(ROW()-3&lt;2,0,INDEX(L:L,ROW()-3))</f>
        <v>7296</v>
      </c>
      <c r="H28" cm="1">
        <f t="array" ref="H28">R27+IF(ROW()-3&lt;2,0,INDEX(M:M,ROW()-3))</f>
        <v>1400</v>
      </c>
      <c r="I28" cm="1">
        <f t="array" ref="I28">S27+IF(ROW()-3&lt;2,0,INDEX(N:N,ROW()-3))</f>
        <v>3211</v>
      </c>
      <c r="J28" cm="1">
        <f t="array" ref="J28">T27+IF(ROW()-3&lt;2,0,INDEX(O:O,ROW()-3))</f>
        <v>2000</v>
      </c>
      <c r="K28" cm="1">
        <f t="array" ref="K28">U27+IF(ROW()-3&lt;2,0,INDEX(P:P,ROW()-3))</f>
        <v>1900</v>
      </c>
      <c r="L28">
        <f>IF(Q28&lt;_xlfn.XLOOKUP(L$1,Capacity!$D$3:$D$7,Capacity!$E$3:$E$7),_xlfn.XLOOKUP(L$1,Capacity!$D$3:$D$7,Capacity!$F$3:$F$7)-Q28,0)</f>
        <v>0</v>
      </c>
      <c r="M28">
        <f>IF(R28&lt;_xlfn.XLOOKUP(M$1,Capacity!$D$3:$D$7,Capacity!$E$3:$E$7),_xlfn.XLOOKUP(M$1,Capacity!$D$3:$D$7,Capacity!$F$3:$F$7)-R28,0)</f>
        <v>0</v>
      </c>
      <c r="N28">
        <f>IF(S28&lt;_xlfn.XLOOKUP(N$1,Capacity!$D$3:$D$7,Capacity!$E$3:$E$7),_xlfn.XLOOKUP(N$1,Capacity!$D$3:$D$7,Capacity!$F$3:$F$7)-S28,0)</f>
        <v>0</v>
      </c>
      <c r="O28">
        <f>IF(T28&lt;_xlfn.XLOOKUP(O$1,Capacity!$D$3:$D$7,Capacity!$E$3:$E$7),_xlfn.XLOOKUP(O$1,Capacity!$D$3:$D$7,Capacity!$F$3:$F$7)-T28,0)</f>
        <v>0</v>
      </c>
      <c r="P28">
        <f>IF(U28&lt;_xlfn.XLOOKUP(P$1,Capacity!$D$3:$D$7,Capacity!$E$3:$E$7),_xlfn.XLOOKUP(P$1,Capacity!$D$3:$D$7,Capacity!$F$3:$F$7)-U28,0)</f>
        <v>0</v>
      </c>
      <c r="Q28">
        <f t="shared" si="1"/>
        <v>7296</v>
      </c>
      <c r="R28">
        <f t="shared" si="2"/>
        <v>1400</v>
      </c>
      <c r="S28">
        <f t="shared" si="3"/>
        <v>3211</v>
      </c>
      <c r="T28">
        <f t="shared" si="4"/>
        <v>2000</v>
      </c>
      <c r="U28">
        <f t="shared" si="5"/>
        <v>1900</v>
      </c>
    </row>
    <row r="29" spans="1:21">
      <c r="A29" s="5">
        <f t="shared" si="6"/>
        <v>46050</v>
      </c>
      <c r="B29">
        <f>SUMIFS('Demand Projection'!$D$2:$D$169,'Demand Projection'!$B$2:$B$169,B$1,'Demand Projection'!$C$2:$C$169,$A29)</f>
        <v>0</v>
      </c>
      <c r="C29">
        <f>SUMIFS('Demand Projection'!$D$2:$D$169,'Demand Projection'!$B$2:$B$169,C$1,'Demand Projection'!$C$2:$C$169,$A29)</f>
        <v>0</v>
      </c>
      <c r="D29">
        <f>SUMIFS('Demand Projection'!$D$2:$D$169,'Demand Projection'!$B$2:$B$169,D$1,'Demand Projection'!$C$2:$C$169,$A29)</f>
        <v>0</v>
      </c>
      <c r="E29">
        <f>SUMIFS('Demand Projection'!$D$2:$D$169,'Demand Projection'!$B$2:$B$169,E$1,'Demand Projection'!$C$2:$C$169,$A29)</f>
        <v>3000</v>
      </c>
      <c r="F29">
        <f>SUMIFS('Demand Projection'!$D$2:$D$169,'Demand Projection'!$B$2:$B$169,F$1,'Demand Projection'!$C$2:$C$169,$A29)</f>
        <v>2000</v>
      </c>
      <c r="G29" cm="1">
        <f t="array" ref="G29">Q28+IF(ROW()-3&lt;2,0,INDEX(L:L,ROW()-3))</f>
        <v>7296</v>
      </c>
      <c r="H29" cm="1">
        <f t="array" ref="H29">R28+IF(ROW()-3&lt;2,0,INDEX(M:M,ROW()-3))</f>
        <v>1400</v>
      </c>
      <c r="I29" cm="1">
        <f t="array" ref="I29">S28+IF(ROW()-3&lt;2,0,INDEX(N:N,ROW()-3))</f>
        <v>3211</v>
      </c>
      <c r="J29" cm="1">
        <f t="array" ref="J29">T28+IF(ROW()-3&lt;2,0,INDEX(O:O,ROW()-3))</f>
        <v>2000</v>
      </c>
      <c r="K29" cm="1">
        <f t="array" ref="K29">U28+IF(ROW()-3&lt;2,0,INDEX(P:P,ROW()-3))</f>
        <v>1900</v>
      </c>
      <c r="L29">
        <f>IF(Q29&lt;_xlfn.XLOOKUP(L$1,Capacity!$D$3:$D$7,Capacity!$E$3:$E$7),_xlfn.XLOOKUP(L$1,Capacity!$D$3:$D$7,Capacity!$F$3:$F$7)-Q29,0)</f>
        <v>0</v>
      </c>
      <c r="M29">
        <f>IF(R29&lt;_xlfn.XLOOKUP(M$1,Capacity!$D$3:$D$7,Capacity!$E$3:$E$7),_xlfn.XLOOKUP(M$1,Capacity!$D$3:$D$7,Capacity!$F$3:$F$7)-R29,0)</f>
        <v>0</v>
      </c>
      <c r="N29">
        <f>IF(S29&lt;_xlfn.XLOOKUP(N$1,Capacity!$D$3:$D$7,Capacity!$E$3:$E$7),_xlfn.XLOOKUP(N$1,Capacity!$D$3:$D$7,Capacity!$F$3:$F$7)-S29,0)</f>
        <v>0</v>
      </c>
      <c r="O29">
        <f>IF(T29&lt;_xlfn.XLOOKUP(O$1,Capacity!$D$3:$D$7,Capacity!$E$3:$E$7),_xlfn.XLOOKUP(O$1,Capacity!$D$3:$D$7,Capacity!$F$3:$F$7)-T29,0)</f>
        <v>4274</v>
      </c>
      <c r="P29">
        <f>IF(U29&lt;_xlfn.XLOOKUP(P$1,Capacity!$D$3:$D$7,Capacity!$E$3:$E$7),_xlfn.XLOOKUP(P$1,Capacity!$D$3:$D$7,Capacity!$F$3:$F$7)-U29,0)</f>
        <v>2283</v>
      </c>
      <c r="Q29">
        <f t="shared" si="1"/>
        <v>7296</v>
      </c>
      <c r="R29">
        <f t="shared" si="2"/>
        <v>1400</v>
      </c>
      <c r="S29">
        <f t="shared" si="3"/>
        <v>3211</v>
      </c>
      <c r="T29">
        <f t="shared" si="4"/>
        <v>-1000</v>
      </c>
      <c r="U29">
        <f t="shared" si="5"/>
        <v>-100</v>
      </c>
    </row>
    <row r="30" spans="1:21">
      <c r="A30" s="5">
        <f t="shared" si="6"/>
        <v>46051</v>
      </c>
      <c r="B30">
        <f>SUMIFS('Demand Projection'!$D$2:$D$169,'Demand Projection'!$B$2:$B$169,B$1,'Demand Projection'!$C$2:$C$169,$A30)</f>
        <v>0</v>
      </c>
      <c r="C30">
        <f>SUMIFS('Demand Projection'!$D$2:$D$169,'Demand Projection'!$B$2:$B$169,C$1,'Demand Projection'!$C$2:$C$169,$A30)</f>
        <v>0</v>
      </c>
      <c r="D30">
        <f>SUMIFS('Demand Projection'!$D$2:$D$169,'Demand Projection'!$B$2:$B$169,D$1,'Demand Projection'!$C$2:$C$169,$A30)</f>
        <v>0</v>
      </c>
      <c r="E30">
        <f>SUMIFS('Demand Projection'!$D$2:$D$169,'Demand Projection'!$B$2:$B$169,E$1,'Demand Projection'!$C$2:$C$169,$A30)</f>
        <v>0</v>
      </c>
      <c r="F30">
        <f>SUMIFS('Demand Projection'!$D$2:$D$169,'Demand Projection'!$B$2:$B$169,F$1,'Demand Projection'!$C$2:$C$169,$A30)</f>
        <v>0</v>
      </c>
      <c r="G30" cm="1">
        <f t="array" ref="G30">Q29+IF(ROW()-3&lt;2,0,INDEX(L:L,ROW()-3))</f>
        <v>7296</v>
      </c>
      <c r="H30" cm="1">
        <f t="array" ref="H30">R29+IF(ROW()-3&lt;2,0,INDEX(M:M,ROW()-3))</f>
        <v>1400</v>
      </c>
      <c r="I30" cm="1">
        <f t="array" ref="I30">S29+IF(ROW()-3&lt;2,0,INDEX(N:N,ROW()-3))</f>
        <v>3211</v>
      </c>
      <c r="J30" cm="1">
        <f t="array" ref="J30">T29+IF(ROW()-3&lt;2,0,INDEX(O:O,ROW()-3))</f>
        <v>-1000</v>
      </c>
      <c r="K30" cm="1">
        <f t="array" ref="K30">U29+IF(ROW()-3&lt;2,0,INDEX(P:P,ROW()-3))</f>
        <v>-100</v>
      </c>
      <c r="L30">
        <f>IF(Q30&lt;_xlfn.XLOOKUP(L$1,Capacity!$D$3:$D$7,Capacity!$E$3:$E$7),_xlfn.XLOOKUP(L$1,Capacity!$D$3:$D$7,Capacity!$F$3:$F$7)-Q30,0)</f>
        <v>0</v>
      </c>
      <c r="M30">
        <f>IF(R30&lt;_xlfn.XLOOKUP(M$1,Capacity!$D$3:$D$7,Capacity!$E$3:$E$7),_xlfn.XLOOKUP(M$1,Capacity!$D$3:$D$7,Capacity!$F$3:$F$7)-R30,0)</f>
        <v>0</v>
      </c>
      <c r="N30">
        <f>IF(S30&lt;_xlfn.XLOOKUP(N$1,Capacity!$D$3:$D$7,Capacity!$E$3:$E$7),_xlfn.XLOOKUP(N$1,Capacity!$D$3:$D$7,Capacity!$F$3:$F$7)-S30,0)</f>
        <v>0</v>
      </c>
      <c r="O30">
        <f>IF(T30&lt;_xlfn.XLOOKUP(O$1,Capacity!$D$3:$D$7,Capacity!$E$3:$E$7),_xlfn.XLOOKUP(O$1,Capacity!$D$3:$D$7,Capacity!$F$3:$F$7)-T30,0)</f>
        <v>4274</v>
      </c>
      <c r="P30">
        <f>IF(U30&lt;_xlfn.XLOOKUP(P$1,Capacity!$D$3:$D$7,Capacity!$E$3:$E$7),_xlfn.XLOOKUP(P$1,Capacity!$D$3:$D$7,Capacity!$F$3:$F$7)-U30,0)</f>
        <v>2283</v>
      </c>
      <c r="Q30">
        <f t="shared" si="1"/>
        <v>7296</v>
      </c>
      <c r="R30">
        <f t="shared" si="2"/>
        <v>1400</v>
      </c>
      <c r="S30">
        <f t="shared" si="3"/>
        <v>3211</v>
      </c>
      <c r="T30">
        <f t="shared" si="4"/>
        <v>-1000</v>
      </c>
      <c r="U30">
        <f t="shared" si="5"/>
        <v>-100</v>
      </c>
    </row>
    <row r="31" spans="1:21">
      <c r="A31" s="5">
        <f t="shared" si="6"/>
        <v>46052</v>
      </c>
      <c r="B31">
        <f>SUMIFS('Demand Projection'!$D$2:$D$169,'Demand Projection'!$B$2:$B$169,B$1,'Demand Projection'!$C$2:$C$169,$A31)</f>
        <v>0</v>
      </c>
      <c r="C31">
        <f>SUMIFS('Demand Projection'!$D$2:$D$169,'Demand Projection'!$B$2:$B$169,C$1,'Demand Projection'!$C$2:$C$169,$A31)</f>
        <v>0</v>
      </c>
      <c r="D31">
        <f>SUMIFS('Demand Projection'!$D$2:$D$169,'Demand Projection'!$B$2:$B$169,D$1,'Demand Projection'!$C$2:$C$169,$A31)</f>
        <v>0</v>
      </c>
      <c r="E31">
        <f>SUMIFS('Demand Projection'!$D$2:$D$169,'Demand Projection'!$B$2:$B$169,E$1,'Demand Projection'!$C$2:$C$169,$A31)</f>
        <v>0</v>
      </c>
      <c r="F31">
        <f>SUMIFS('Demand Projection'!$D$2:$D$169,'Demand Projection'!$B$2:$B$169,F$1,'Demand Projection'!$C$2:$C$169,$A31)</f>
        <v>0</v>
      </c>
      <c r="G31" cm="1">
        <f t="array" ref="G31">Q30+IF(ROW()-3&lt;2,0,INDEX(L:L,ROW()-3))</f>
        <v>7296</v>
      </c>
      <c r="H31" cm="1">
        <f t="array" ref="H31">R30+IF(ROW()-3&lt;2,0,INDEX(M:M,ROW()-3))</f>
        <v>1400</v>
      </c>
      <c r="I31" cm="1">
        <f t="array" ref="I31">S30+IF(ROW()-3&lt;2,0,INDEX(N:N,ROW()-3))</f>
        <v>3211</v>
      </c>
      <c r="J31" cm="1">
        <f t="array" ref="J31">T30+IF(ROW()-3&lt;2,0,INDEX(O:O,ROW()-3))</f>
        <v>-1000</v>
      </c>
      <c r="K31" cm="1">
        <f t="array" ref="K31">U30+IF(ROW()-3&lt;2,0,INDEX(P:P,ROW()-3))</f>
        <v>-100</v>
      </c>
      <c r="L31">
        <f>IF(Q31&lt;_xlfn.XLOOKUP(L$1,Capacity!$D$3:$D$7,Capacity!$E$3:$E$7),_xlfn.XLOOKUP(L$1,Capacity!$D$3:$D$7,Capacity!$F$3:$F$7)-Q31,0)</f>
        <v>0</v>
      </c>
      <c r="M31">
        <f>IF(R31&lt;_xlfn.XLOOKUP(M$1,Capacity!$D$3:$D$7,Capacity!$E$3:$E$7),_xlfn.XLOOKUP(M$1,Capacity!$D$3:$D$7,Capacity!$F$3:$F$7)-R31,0)</f>
        <v>0</v>
      </c>
      <c r="N31">
        <f>IF(S31&lt;_xlfn.XLOOKUP(N$1,Capacity!$D$3:$D$7,Capacity!$E$3:$E$7),_xlfn.XLOOKUP(N$1,Capacity!$D$3:$D$7,Capacity!$F$3:$F$7)-S31,0)</f>
        <v>0</v>
      </c>
      <c r="O31">
        <f>IF(T31&lt;_xlfn.XLOOKUP(O$1,Capacity!$D$3:$D$7,Capacity!$E$3:$E$7),_xlfn.XLOOKUP(O$1,Capacity!$D$3:$D$7,Capacity!$F$3:$F$7)-T31,0)</f>
        <v>4274</v>
      </c>
      <c r="P31">
        <f>IF(U31&lt;_xlfn.XLOOKUP(P$1,Capacity!$D$3:$D$7,Capacity!$E$3:$E$7),_xlfn.XLOOKUP(P$1,Capacity!$D$3:$D$7,Capacity!$F$3:$F$7)-U31,0)</f>
        <v>2283</v>
      </c>
      <c r="Q31">
        <f t="shared" si="1"/>
        <v>7296</v>
      </c>
      <c r="R31">
        <f t="shared" si="2"/>
        <v>1400</v>
      </c>
      <c r="S31">
        <f t="shared" si="3"/>
        <v>3211</v>
      </c>
      <c r="T31">
        <f t="shared" si="4"/>
        <v>-1000</v>
      </c>
      <c r="U31">
        <f t="shared" si="5"/>
        <v>-100</v>
      </c>
    </row>
    <row r="32" spans="1:21">
      <c r="A32" s="5">
        <f t="shared" si="6"/>
        <v>46053</v>
      </c>
      <c r="B32">
        <f>SUMIFS('Demand Projection'!$D$2:$D$169,'Demand Projection'!$B$2:$B$169,B$1,'Demand Projection'!$C$2:$C$169,$A32)</f>
        <v>0</v>
      </c>
      <c r="C32">
        <f>SUMIFS('Demand Projection'!$D$2:$D$169,'Demand Projection'!$B$2:$B$169,C$1,'Demand Projection'!$C$2:$C$169,$A32)</f>
        <v>0</v>
      </c>
      <c r="D32">
        <f>SUMIFS('Demand Projection'!$D$2:$D$169,'Demand Projection'!$B$2:$B$169,D$1,'Demand Projection'!$C$2:$C$169,$A32)</f>
        <v>0</v>
      </c>
      <c r="E32">
        <f>SUMIFS('Demand Projection'!$D$2:$D$169,'Demand Projection'!$B$2:$B$169,E$1,'Demand Projection'!$C$2:$C$169,$A32)</f>
        <v>0</v>
      </c>
      <c r="F32">
        <f>SUMIFS('Demand Projection'!$D$2:$D$169,'Demand Projection'!$B$2:$B$169,F$1,'Demand Projection'!$C$2:$C$169,$A32)</f>
        <v>0</v>
      </c>
      <c r="G32" cm="1">
        <f t="array" ref="G32">Q31+IF(ROW()-3&lt;2,0,INDEX(L:L,ROW()-3))</f>
        <v>7296</v>
      </c>
      <c r="H32" cm="1">
        <f t="array" ref="H32">R31+IF(ROW()-3&lt;2,0,INDEX(M:M,ROW()-3))</f>
        <v>1400</v>
      </c>
      <c r="I32" cm="1">
        <f t="array" ref="I32">S31+IF(ROW()-3&lt;2,0,INDEX(N:N,ROW()-3))</f>
        <v>3211</v>
      </c>
      <c r="J32" cm="1">
        <f t="array" ref="J32">T31+IF(ROW()-3&lt;2,0,INDEX(O:O,ROW()-3))</f>
        <v>3274</v>
      </c>
      <c r="K32" cm="1">
        <f t="array" ref="K32">U31+IF(ROW()-3&lt;2,0,INDEX(P:P,ROW()-3))</f>
        <v>2183</v>
      </c>
      <c r="L32">
        <f>IF(Q32&lt;_xlfn.XLOOKUP(L$1,Capacity!$D$3:$D$7,Capacity!$E$3:$E$7),_xlfn.XLOOKUP(L$1,Capacity!$D$3:$D$7,Capacity!$F$3:$F$7)-Q32,0)</f>
        <v>0</v>
      </c>
      <c r="M32">
        <f>IF(R32&lt;_xlfn.XLOOKUP(M$1,Capacity!$D$3:$D$7,Capacity!$E$3:$E$7),_xlfn.XLOOKUP(M$1,Capacity!$D$3:$D$7,Capacity!$F$3:$F$7)-R32,0)</f>
        <v>0</v>
      </c>
      <c r="N32">
        <f>IF(S32&lt;_xlfn.XLOOKUP(N$1,Capacity!$D$3:$D$7,Capacity!$E$3:$E$7),_xlfn.XLOOKUP(N$1,Capacity!$D$3:$D$7,Capacity!$F$3:$F$7)-S32,0)</f>
        <v>0</v>
      </c>
      <c r="O32">
        <f>IF(T32&lt;_xlfn.XLOOKUP(O$1,Capacity!$D$3:$D$7,Capacity!$E$3:$E$7),_xlfn.XLOOKUP(O$1,Capacity!$D$3:$D$7,Capacity!$F$3:$F$7)-T32,0)</f>
        <v>0</v>
      </c>
      <c r="P32">
        <f>IF(U32&lt;_xlfn.XLOOKUP(P$1,Capacity!$D$3:$D$7,Capacity!$E$3:$E$7),_xlfn.XLOOKUP(P$1,Capacity!$D$3:$D$7,Capacity!$F$3:$F$7)-U32,0)</f>
        <v>0</v>
      </c>
      <c r="Q32">
        <f t="shared" si="1"/>
        <v>7296</v>
      </c>
      <c r="R32">
        <f t="shared" si="2"/>
        <v>1400</v>
      </c>
      <c r="S32">
        <f t="shared" si="3"/>
        <v>3211</v>
      </c>
      <c r="T32">
        <f t="shared" si="4"/>
        <v>3274</v>
      </c>
      <c r="U32">
        <f t="shared" si="5"/>
        <v>2183</v>
      </c>
    </row>
    <row r="33" spans="1:21">
      <c r="A33" s="5">
        <f t="shared" si="6"/>
        <v>46054</v>
      </c>
      <c r="B33">
        <f>SUMIFS('Demand Projection'!$D$2:$D$169,'Demand Projection'!$B$2:$B$169,B$1,'Demand Projection'!$C$2:$C$169,$A33)</f>
        <v>0</v>
      </c>
      <c r="C33">
        <f>SUMIFS('Demand Projection'!$D$2:$D$169,'Demand Projection'!$B$2:$B$169,C$1,'Demand Projection'!$C$2:$C$169,$A33)</f>
        <v>0</v>
      </c>
      <c r="D33">
        <f>SUMIFS('Demand Projection'!$D$2:$D$169,'Demand Projection'!$B$2:$B$169,D$1,'Demand Projection'!$C$2:$C$169,$A33)</f>
        <v>0</v>
      </c>
      <c r="E33">
        <f>SUMIFS('Demand Projection'!$D$2:$D$169,'Demand Projection'!$B$2:$B$169,E$1,'Demand Projection'!$C$2:$C$169,$A33)</f>
        <v>0</v>
      </c>
      <c r="F33">
        <f>SUMIFS('Demand Projection'!$D$2:$D$169,'Demand Projection'!$B$2:$B$169,F$1,'Demand Projection'!$C$2:$C$169,$A33)</f>
        <v>0</v>
      </c>
      <c r="G33" cm="1">
        <f t="array" ref="G33">Q32+IF(ROW()-3&lt;2,0,INDEX(L:L,ROW()-3))</f>
        <v>7296</v>
      </c>
      <c r="H33" cm="1">
        <f t="array" ref="H33">R32+IF(ROW()-3&lt;2,0,INDEX(M:M,ROW()-3))</f>
        <v>1400</v>
      </c>
      <c r="I33" cm="1">
        <f t="array" ref="I33">S32+IF(ROW()-3&lt;2,0,INDEX(N:N,ROW()-3))</f>
        <v>3211</v>
      </c>
      <c r="J33" cm="1">
        <f t="array" ref="J33">T32+IF(ROW()-3&lt;2,0,INDEX(O:O,ROW()-3))</f>
        <v>7548</v>
      </c>
      <c r="K33" cm="1">
        <f t="array" ref="K33">U32+IF(ROW()-3&lt;2,0,INDEX(P:P,ROW()-3))</f>
        <v>4466</v>
      </c>
      <c r="L33">
        <f>IF(Q33&lt;_xlfn.XLOOKUP(L$1,Capacity!$D$3:$D$7,Capacity!$E$3:$E$7),_xlfn.XLOOKUP(L$1,Capacity!$D$3:$D$7,Capacity!$F$3:$F$7)-Q33,0)</f>
        <v>0</v>
      </c>
      <c r="M33">
        <f>IF(R33&lt;_xlfn.XLOOKUP(M$1,Capacity!$D$3:$D$7,Capacity!$E$3:$E$7),_xlfn.XLOOKUP(M$1,Capacity!$D$3:$D$7,Capacity!$F$3:$F$7)-R33,0)</f>
        <v>0</v>
      </c>
      <c r="N33">
        <f>IF(S33&lt;_xlfn.XLOOKUP(N$1,Capacity!$D$3:$D$7,Capacity!$E$3:$E$7),_xlfn.XLOOKUP(N$1,Capacity!$D$3:$D$7,Capacity!$F$3:$F$7)-S33,0)</f>
        <v>0</v>
      </c>
      <c r="O33">
        <f>IF(T33&lt;_xlfn.XLOOKUP(O$1,Capacity!$D$3:$D$7,Capacity!$E$3:$E$7),_xlfn.XLOOKUP(O$1,Capacity!$D$3:$D$7,Capacity!$F$3:$F$7)-T33,0)</f>
        <v>0</v>
      </c>
      <c r="P33">
        <f>IF(U33&lt;_xlfn.XLOOKUP(P$1,Capacity!$D$3:$D$7,Capacity!$E$3:$E$7),_xlfn.XLOOKUP(P$1,Capacity!$D$3:$D$7,Capacity!$F$3:$F$7)-U33,0)</f>
        <v>0</v>
      </c>
      <c r="Q33">
        <f t="shared" si="1"/>
        <v>7296</v>
      </c>
      <c r="R33">
        <f t="shared" si="2"/>
        <v>1400</v>
      </c>
      <c r="S33">
        <f t="shared" si="3"/>
        <v>3211</v>
      </c>
      <c r="T33">
        <f t="shared" si="4"/>
        <v>7548</v>
      </c>
      <c r="U33">
        <f t="shared" si="5"/>
        <v>4466</v>
      </c>
    </row>
    <row r="34" spans="1:21">
      <c r="A34" s="5">
        <f t="shared" si="6"/>
        <v>46055</v>
      </c>
      <c r="B34">
        <f>SUMIFS('Demand Projection'!$D$2:$D$169,'Demand Projection'!$B$2:$B$169,B$1,'Demand Projection'!$C$2:$C$169,$A34)</f>
        <v>0</v>
      </c>
      <c r="C34">
        <f>SUMIFS('Demand Projection'!$D$2:$D$169,'Demand Projection'!$B$2:$B$169,C$1,'Demand Projection'!$C$2:$C$169,$A34)</f>
        <v>0</v>
      </c>
      <c r="D34">
        <f>SUMIFS('Demand Projection'!$D$2:$D$169,'Demand Projection'!$B$2:$B$169,D$1,'Demand Projection'!$C$2:$C$169,$A34)</f>
        <v>0</v>
      </c>
      <c r="E34">
        <f>SUMIFS('Demand Projection'!$D$2:$D$169,'Demand Projection'!$B$2:$B$169,E$1,'Demand Projection'!$C$2:$C$169,$A34)</f>
        <v>0</v>
      </c>
      <c r="F34">
        <f>SUMIFS('Demand Projection'!$D$2:$D$169,'Demand Projection'!$B$2:$B$169,F$1,'Demand Projection'!$C$2:$C$169,$A34)</f>
        <v>0</v>
      </c>
      <c r="G34" cm="1">
        <f t="array" ref="G34">Q33+IF(ROW()-3&lt;2,0,INDEX(L:L,ROW()-3))</f>
        <v>7296</v>
      </c>
      <c r="H34" cm="1">
        <f t="array" ref="H34">R33+IF(ROW()-3&lt;2,0,INDEX(M:M,ROW()-3))</f>
        <v>1400</v>
      </c>
      <c r="I34" cm="1">
        <f t="array" ref="I34">S33+IF(ROW()-3&lt;2,0,INDEX(N:N,ROW()-3))</f>
        <v>3211</v>
      </c>
      <c r="J34" cm="1">
        <f t="array" ref="J34">T33+IF(ROW()-3&lt;2,0,INDEX(O:O,ROW()-3))</f>
        <v>11822</v>
      </c>
      <c r="K34" cm="1">
        <f t="array" ref="K34">U33+IF(ROW()-3&lt;2,0,INDEX(P:P,ROW()-3))</f>
        <v>6749</v>
      </c>
      <c r="L34">
        <f>IF(Q34&lt;_xlfn.XLOOKUP(L$1,Capacity!$D$3:$D$7,Capacity!$E$3:$E$7),_xlfn.XLOOKUP(L$1,Capacity!$D$3:$D$7,Capacity!$F$3:$F$7)-Q34,0)</f>
        <v>0</v>
      </c>
      <c r="M34">
        <f>IF(R34&lt;_xlfn.XLOOKUP(M$1,Capacity!$D$3:$D$7,Capacity!$E$3:$E$7),_xlfn.XLOOKUP(M$1,Capacity!$D$3:$D$7,Capacity!$F$3:$F$7)-R34,0)</f>
        <v>0</v>
      </c>
      <c r="N34">
        <f>IF(S34&lt;_xlfn.XLOOKUP(N$1,Capacity!$D$3:$D$7,Capacity!$E$3:$E$7),_xlfn.XLOOKUP(N$1,Capacity!$D$3:$D$7,Capacity!$F$3:$F$7)-S34,0)</f>
        <v>0</v>
      </c>
      <c r="O34">
        <f>IF(T34&lt;_xlfn.XLOOKUP(O$1,Capacity!$D$3:$D$7,Capacity!$E$3:$E$7),_xlfn.XLOOKUP(O$1,Capacity!$D$3:$D$7,Capacity!$F$3:$F$7)-T34,0)</f>
        <v>0</v>
      </c>
      <c r="P34">
        <f>IF(U34&lt;_xlfn.XLOOKUP(P$1,Capacity!$D$3:$D$7,Capacity!$E$3:$E$7),_xlfn.XLOOKUP(P$1,Capacity!$D$3:$D$7,Capacity!$F$3:$F$7)-U34,0)</f>
        <v>0</v>
      </c>
      <c r="Q34">
        <f t="shared" si="1"/>
        <v>7296</v>
      </c>
      <c r="R34">
        <f t="shared" si="2"/>
        <v>1400</v>
      </c>
      <c r="S34">
        <f t="shared" si="3"/>
        <v>3211</v>
      </c>
      <c r="T34">
        <f t="shared" si="4"/>
        <v>11822</v>
      </c>
      <c r="U34">
        <f t="shared" si="5"/>
        <v>6749</v>
      </c>
    </row>
    <row r="35" spans="1:21">
      <c r="A35" s="5">
        <f t="shared" si="6"/>
        <v>46056</v>
      </c>
      <c r="B35">
        <f>SUMIFS('Demand Projection'!$D$2:$D$169,'Demand Projection'!$B$2:$B$169,B$1,'Demand Projection'!$C$2:$C$169,$A35)</f>
        <v>1050</v>
      </c>
      <c r="C35">
        <f>SUMIFS('Demand Projection'!$D$2:$D$169,'Demand Projection'!$B$2:$B$169,C$1,'Demand Projection'!$C$2:$C$169,$A35)</f>
        <v>6300</v>
      </c>
      <c r="D35">
        <f>SUMIFS('Demand Projection'!$D$2:$D$169,'Demand Projection'!$B$2:$B$169,D$1,'Demand Projection'!$C$2:$C$169,$A35)</f>
        <v>0</v>
      </c>
      <c r="E35">
        <f>SUMIFS('Demand Projection'!$D$2:$D$169,'Demand Projection'!$B$2:$B$169,E$1,'Demand Projection'!$C$2:$C$169,$A35)</f>
        <v>0</v>
      </c>
      <c r="F35">
        <f>SUMIFS('Demand Projection'!$D$2:$D$169,'Demand Projection'!$B$2:$B$169,F$1,'Demand Projection'!$C$2:$C$169,$A35)</f>
        <v>0</v>
      </c>
      <c r="G35" cm="1">
        <f t="array" ref="G35">Q34+IF(ROW()-3&lt;2,0,INDEX(L:L,ROW()-3))</f>
        <v>7296</v>
      </c>
      <c r="H35" cm="1">
        <f t="array" ref="H35">R34+IF(ROW()-3&lt;2,0,INDEX(M:M,ROW()-3))</f>
        <v>1400</v>
      </c>
      <c r="I35" cm="1">
        <f t="array" ref="I35">S34+IF(ROW()-3&lt;2,0,INDEX(N:N,ROW()-3))</f>
        <v>3211</v>
      </c>
      <c r="J35" cm="1">
        <f t="array" ref="J35">T34+IF(ROW()-3&lt;2,0,INDEX(O:O,ROW()-3))</f>
        <v>11822</v>
      </c>
      <c r="K35" cm="1">
        <f t="array" ref="K35">U34+IF(ROW()-3&lt;2,0,INDEX(P:P,ROW()-3))</f>
        <v>6749</v>
      </c>
      <c r="L35">
        <f>IF(Q35&lt;_xlfn.XLOOKUP(L$1,Capacity!$D$3:$D$7,Capacity!$E$3:$E$7),_xlfn.XLOOKUP(L$1,Capacity!$D$3:$D$7,Capacity!$F$3:$F$7)-Q35,0)</f>
        <v>0</v>
      </c>
      <c r="M35">
        <f>IF(R35&lt;_xlfn.XLOOKUP(M$1,Capacity!$D$3:$D$7,Capacity!$E$3:$E$7),_xlfn.XLOOKUP(M$1,Capacity!$D$3:$D$7,Capacity!$F$3:$F$7)-R35,0)</f>
        <v>11470</v>
      </c>
      <c r="N35">
        <f>IF(S35&lt;_xlfn.XLOOKUP(N$1,Capacity!$D$3:$D$7,Capacity!$E$3:$E$7),_xlfn.XLOOKUP(N$1,Capacity!$D$3:$D$7,Capacity!$F$3:$F$7)-S35,0)</f>
        <v>0</v>
      </c>
      <c r="O35">
        <f>IF(T35&lt;_xlfn.XLOOKUP(O$1,Capacity!$D$3:$D$7,Capacity!$E$3:$E$7),_xlfn.XLOOKUP(O$1,Capacity!$D$3:$D$7,Capacity!$F$3:$F$7)-T35,0)</f>
        <v>0</v>
      </c>
      <c r="P35">
        <f>IF(U35&lt;_xlfn.XLOOKUP(P$1,Capacity!$D$3:$D$7,Capacity!$E$3:$E$7),_xlfn.XLOOKUP(P$1,Capacity!$D$3:$D$7,Capacity!$F$3:$F$7)-U35,0)</f>
        <v>0</v>
      </c>
      <c r="Q35">
        <f t="shared" si="1"/>
        <v>6246</v>
      </c>
      <c r="R35">
        <f t="shared" si="2"/>
        <v>-4900</v>
      </c>
      <c r="S35">
        <f t="shared" si="3"/>
        <v>3211</v>
      </c>
      <c r="T35">
        <f t="shared" si="4"/>
        <v>11822</v>
      </c>
      <c r="U35">
        <f t="shared" si="5"/>
        <v>6749</v>
      </c>
    </row>
    <row r="36" spans="1:21">
      <c r="A36" s="5">
        <f t="shared" si="6"/>
        <v>46057</v>
      </c>
      <c r="B36">
        <f>SUMIFS('Demand Projection'!$D$2:$D$169,'Demand Projection'!$B$2:$B$169,B$1,'Demand Projection'!$C$2:$C$169,$A36)</f>
        <v>420</v>
      </c>
      <c r="C36">
        <f>SUMIFS('Demand Projection'!$D$2:$D$169,'Demand Projection'!$B$2:$B$169,C$1,'Demand Projection'!$C$2:$C$169,$A36)</f>
        <v>0</v>
      </c>
      <c r="D36">
        <f>SUMIFS('Demand Projection'!$D$2:$D$169,'Demand Projection'!$B$2:$B$169,D$1,'Demand Projection'!$C$2:$C$169,$A36)</f>
        <v>0</v>
      </c>
      <c r="E36">
        <f>SUMIFS('Demand Projection'!$D$2:$D$169,'Demand Projection'!$B$2:$B$169,E$1,'Demand Projection'!$C$2:$C$169,$A36)</f>
        <v>0</v>
      </c>
      <c r="F36">
        <f>SUMIFS('Demand Projection'!$D$2:$D$169,'Demand Projection'!$B$2:$B$169,F$1,'Demand Projection'!$C$2:$C$169,$A36)</f>
        <v>0</v>
      </c>
      <c r="G36" cm="1">
        <f t="array" ref="G36">Q35+IF(ROW()-3&lt;2,0,INDEX(L:L,ROW()-3))</f>
        <v>6246</v>
      </c>
      <c r="H36" cm="1">
        <f t="array" ref="H36">R35+IF(ROW()-3&lt;2,0,INDEX(M:M,ROW()-3))</f>
        <v>-4900</v>
      </c>
      <c r="I36" cm="1">
        <f t="array" ref="I36">S35+IF(ROW()-3&lt;2,0,INDEX(N:N,ROW()-3))</f>
        <v>3211</v>
      </c>
      <c r="J36" cm="1">
        <f t="array" ref="J36">T35+IF(ROW()-3&lt;2,0,INDEX(O:O,ROW()-3))</f>
        <v>11822</v>
      </c>
      <c r="K36" cm="1">
        <f t="array" ref="K36">U35+IF(ROW()-3&lt;2,0,INDEX(P:P,ROW()-3))</f>
        <v>6749</v>
      </c>
      <c r="L36">
        <f>IF(Q36&lt;_xlfn.XLOOKUP(L$1,Capacity!$D$3:$D$7,Capacity!$E$3:$E$7),_xlfn.XLOOKUP(L$1,Capacity!$D$3:$D$7,Capacity!$F$3:$F$7)-Q36,0)</f>
        <v>0</v>
      </c>
      <c r="M36">
        <f>IF(R36&lt;_xlfn.XLOOKUP(M$1,Capacity!$D$3:$D$7,Capacity!$E$3:$E$7),_xlfn.XLOOKUP(M$1,Capacity!$D$3:$D$7,Capacity!$F$3:$F$7)-R36,0)</f>
        <v>11470</v>
      </c>
      <c r="N36">
        <f>IF(S36&lt;_xlfn.XLOOKUP(N$1,Capacity!$D$3:$D$7,Capacity!$E$3:$E$7),_xlfn.XLOOKUP(N$1,Capacity!$D$3:$D$7,Capacity!$F$3:$F$7)-S36,0)</f>
        <v>0</v>
      </c>
      <c r="O36">
        <f>IF(T36&lt;_xlfn.XLOOKUP(O$1,Capacity!$D$3:$D$7,Capacity!$E$3:$E$7),_xlfn.XLOOKUP(O$1,Capacity!$D$3:$D$7,Capacity!$F$3:$F$7)-T36,0)</f>
        <v>0</v>
      </c>
      <c r="P36">
        <f>IF(U36&lt;_xlfn.XLOOKUP(P$1,Capacity!$D$3:$D$7,Capacity!$E$3:$E$7),_xlfn.XLOOKUP(P$1,Capacity!$D$3:$D$7,Capacity!$F$3:$F$7)-U36,0)</f>
        <v>0</v>
      </c>
      <c r="Q36">
        <f t="shared" si="1"/>
        <v>5826</v>
      </c>
      <c r="R36">
        <f t="shared" si="2"/>
        <v>-4900</v>
      </c>
      <c r="S36">
        <f t="shared" si="3"/>
        <v>3211</v>
      </c>
      <c r="T36">
        <f t="shared" si="4"/>
        <v>11822</v>
      </c>
      <c r="U36">
        <f t="shared" si="5"/>
        <v>6749</v>
      </c>
    </row>
    <row r="37" spans="1:21">
      <c r="A37" s="5">
        <f t="shared" si="6"/>
        <v>46058</v>
      </c>
      <c r="B37">
        <f>SUMIFS('Demand Projection'!$D$2:$D$169,'Demand Projection'!$B$2:$B$169,B$1,'Demand Projection'!$C$2:$C$169,$A37)</f>
        <v>0</v>
      </c>
      <c r="C37">
        <f>SUMIFS('Demand Projection'!$D$2:$D$169,'Demand Projection'!$B$2:$B$169,C$1,'Demand Projection'!$C$2:$C$169,$A37)</f>
        <v>0</v>
      </c>
      <c r="D37">
        <f>SUMIFS('Demand Projection'!$D$2:$D$169,'Demand Projection'!$B$2:$B$169,D$1,'Demand Projection'!$C$2:$C$169,$A37)</f>
        <v>945</v>
      </c>
      <c r="E37">
        <f>SUMIFS('Demand Projection'!$D$2:$D$169,'Demand Projection'!$B$2:$B$169,E$1,'Demand Projection'!$C$2:$C$169,$A37)</f>
        <v>0</v>
      </c>
      <c r="F37">
        <f>SUMIFS('Demand Projection'!$D$2:$D$169,'Demand Projection'!$B$2:$B$169,F$1,'Demand Projection'!$C$2:$C$169,$A37)</f>
        <v>0</v>
      </c>
      <c r="G37" cm="1">
        <f t="array" ref="G37">Q36+IF(ROW()-3&lt;2,0,INDEX(L:L,ROW()-3))</f>
        <v>5826</v>
      </c>
      <c r="H37" cm="1">
        <f t="array" ref="H37">R36+IF(ROW()-3&lt;2,0,INDEX(M:M,ROW()-3))</f>
        <v>-4900</v>
      </c>
      <c r="I37" cm="1">
        <f t="array" ref="I37">S36+IF(ROW()-3&lt;2,0,INDEX(N:N,ROW()-3))</f>
        <v>3211</v>
      </c>
      <c r="J37" cm="1">
        <f t="array" ref="J37">T36+IF(ROW()-3&lt;2,0,INDEX(O:O,ROW()-3))</f>
        <v>11822</v>
      </c>
      <c r="K37" cm="1">
        <f t="array" ref="K37">U36+IF(ROW()-3&lt;2,0,INDEX(P:P,ROW()-3))</f>
        <v>6749</v>
      </c>
      <c r="L37">
        <f>IF(Q37&lt;_xlfn.XLOOKUP(L$1,Capacity!$D$3:$D$7,Capacity!$E$3:$E$7),_xlfn.XLOOKUP(L$1,Capacity!$D$3:$D$7,Capacity!$F$3:$F$7)-Q37,0)</f>
        <v>0</v>
      </c>
      <c r="M37">
        <f>IF(R37&lt;_xlfn.XLOOKUP(M$1,Capacity!$D$3:$D$7,Capacity!$E$3:$E$7),_xlfn.XLOOKUP(M$1,Capacity!$D$3:$D$7,Capacity!$F$3:$F$7)-R37,0)</f>
        <v>11470</v>
      </c>
      <c r="N37">
        <f>IF(S37&lt;_xlfn.XLOOKUP(N$1,Capacity!$D$3:$D$7,Capacity!$E$3:$E$7),_xlfn.XLOOKUP(N$1,Capacity!$D$3:$D$7,Capacity!$F$3:$F$7)-S37,0)</f>
        <v>0</v>
      </c>
      <c r="O37">
        <f>IF(T37&lt;_xlfn.XLOOKUP(O$1,Capacity!$D$3:$D$7,Capacity!$E$3:$E$7),_xlfn.XLOOKUP(O$1,Capacity!$D$3:$D$7,Capacity!$F$3:$F$7)-T37,0)</f>
        <v>0</v>
      </c>
      <c r="P37">
        <f>IF(U37&lt;_xlfn.XLOOKUP(P$1,Capacity!$D$3:$D$7,Capacity!$E$3:$E$7),_xlfn.XLOOKUP(P$1,Capacity!$D$3:$D$7,Capacity!$F$3:$F$7)-U37,0)</f>
        <v>0</v>
      </c>
      <c r="Q37">
        <f t="shared" si="1"/>
        <v>5826</v>
      </c>
      <c r="R37">
        <f t="shared" si="2"/>
        <v>-4900</v>
      </c>
      <c r="S37">
        <f t="shared" si="3"/>
        <v>2266</v>
      </c>
      <c r="T37">
        <f t="shared" si="4"/>
        <v>11822</v>
      </c>
      <c r="U37">
        <f t="shared" si="5"/>
        <v>6749</v>
      </c>
    </row>
    <row r="38" spans="1:21">
      <c r="A38" s="5">
        <f t="shared" si="6"/>
        <v>46059</v>
      </c>
      <c r="B38">
        <f>SUMIFS('Demand Projection'!$D$2:$D$169,'Demand Projection'!$B$2:$B$169,B$1,'Demand Projection'!$C$2:$C$169,$A38)</f>
        <v>0</v>
      </c>
      <c r="C38">
        <f>SUMIFS('Demand Projection'!$D$2:$D$169,'Demand Projection'!$B$2:$B$169,C$1,'Demand Projection'!$C$2:$C$169,$A38)</f>
        <v>0</v>
      </c>
      <c r="D38">
        <f>SUMIFS('Demand Projection'!$D$2:$D$169,'Demand Projection'!$B$2:$B$169,D$1,'Demand Projection'!$C$2:$C$169,$A38)</f>
        <v>0</v>
      </c>
      <c r="E38">
        <f>SUMIFS('Demand Projection'!$D$2:$D$169,'Demand Projection'!$B$2:$B$169,E$1,'Demand Projection'!$C$2:$C$169,$A38)</f>
        <v>630</v>
      </c>
      <c r="F38">
        <f>SUMIFS('Demand Projection'!$D$2:$D$169,'Demand Projection'!$B$2:$B$169,F$1,'Demand Projection'!$C$2:$C$169,$A38)</f>
        <v>0</v>
      </c>
      <c r="G38" cm="1">
        <f t="array" ref="G38">Q37+IF(ROW()-3&lt;2,0,INDEX(L:L,ROW()-3))</f>
        <v>5826</v>
      </c>
      <c r="H38" cm="1">
        <f t="array" ref="H38">R37+IF(ROW()-3&lt;2,0,INDEX(M:M,ROW()-3))</f>
        <v>6570</v>
      </c>
      <c r="I38" cm="1">
        <f t="array" ref="I38">S37+IF(ROW()-3&lt;2,0,INDEX(N:N,ROW()-3))</f>
        <v>2266</v>
      </c>
      <c r="J38" cm="1">
        <f t="array" ref="J38">T37+IF(ROW()-3&lt;2,0,INDEX(O:O,ROW()-3))</f>
        <v>11822</v>
      </c>
      <c r="K38" cm="1">
        <f t="array" ref="K38">U37+IF(ROW()-3&lt;2,0,INDEX(P:P,ROW()-3))</f>
        <v>6749</v>
      </c>
      <c r="L38">
        <f>IF(Q38&lt;_xlfn.XLOOKUP(L$1,Capacity!$D$3:$D$7,Capacity!$E$3:$E$7),_xlfn.XLOOKUP(L$1,Capacity!$D$3:$D$7,Capacity!$F$3:$F$7)-Q38,0)</f>
        <v>0</v>
      </c>
      <c r="M38">
        <f>IF(R38&lt;_xlfn.XLOOKUP(M$1,Capacity!$D$3:$D$7,Capacity!$E$3:$E$7),_xlfn.XLOOKUP(M$1,Capacity!$D$3:$D$7,Capacity!$F$3:$F$7)-R38,0)</f>
        <v>0</v>
      </c>
      <c r="N38">
        <f>IF(S38&lt;_xlfn.XLOOKUP(N$1,Capacity!$D$3:$D$7,Capacity!$E$3:$E$7),_xlfn.XLOOKUP(N$1,Capacity!$D$3:$D$7,Capacity!$F$3:$F$7)-S38,0)</f>
        <v>0</v>
      </c>
      <c r="O38">
        <f>IF(T38&lt;_xlfn.XLOOKUP(O$1,Capacity!$D$3:$D$7,Capacity!$E$3:$E$7),_xlfn.XLOOKUP(O$1,Capacity!$D$3:$D$7,Capacity!$F$3:$F$7)-T38,0)</f>
        <v>0</v>
      </c>
      <c r="P38">
        <f>IF(U38&lt;_xlfn.XLOOKUP(P$1,Capacity!$D$3:$D$7,Capacity!$E$3:$E$7),_xlfn.XLOOKUP(P$1,Capacity!$D$3:$D$7,Capacity!$F$3:$F$7)-U38,0)</f>
        <v>0</v>
      </c>
      <c r="Q38">
        <f t="shared" si="1"/>
        <v>5826</v>
      </c>
      <c r="R38">
        <f t="shared" si="2"/>
        <v>6570</v>
      </c>
      <c r="S38">
        <f t="shared" si="3"/>
        <v>2266</v>
      </c>
      <c r="T38">
        <f t="shared" si="4"/>
        <v>11192</v>
      </c>
      <c r="U38">
        <f t="shared" si="5"/>
        <v>6749</v>
      </c>
    </row>
    <row r="39" spans="1:21">
      <c r="A39" s="5">
        <f t="shared" si="6"/>
        <v>46060</v>
      </c>
      <c r="B39">
        <f>SUMIFS('Demand Projection'!$D$2:$D$169,'Demand Projection'!$B$2:$B$169,B$1,'Demand Projection'!$C$2:$C$169,$A39)</f>
        <v>1050</v>
      </c>
      <c r="C39">
        <f>SUMIFS('Demand Projection'!$D$2:$D$169,'Demand Projection'!$B$2:$B$169,C$1,'Demand Projection'!$C$2:$C$169,$A39)</f>
        <v>0</v>
      </c>
      <c r="D39">
        <f>SUMIFS('Demand Projection'!$D$2:$D$169,'Demand Projection'!$B$2:$B$169,D$1,'Demand Projection'!$C$2:$C$169,$A39)</f>
        <v>0</v>
      </c>
      <c r="E39">
        <f>SUMIFS('Demand Projection'!$D$2:$D$169,'Demand Projection'!$B$2:$B$169,E$1,'Demand Projection'!$C$2:$C$169,$A39)</f>
        <v>0</v>
      </c>
      <c r="F39">
        <f>SUMIFS('Demand Projection'!$D$2:$D$169,'Demand Projection'!$B$2:$B$169,F$1,'Demand Projection'!$C$2:$C$169,$A39)</f>
        <v>0</v>
      </c>
      <c r="G39" cm="1">
        <f t="array" ref="G39">Q38+IF(ROW()-3&lt;2,0,INDEX(L:L,ROW()-3))</f>
        <v>5826</v>
      </c>
      <c r="H39" cm="1">
        <f t="array" ref="H39">R38+IF(ROW()-3&lt;2,0,INDEX(M:M,ROW()-3))</f>
        <v>18040</v>
      </c>
      <c r="I39" cm="1">
        <f t="array" ref="I39">S38+IF(ROW()-3&lt;2,0,INDEX(N:N,ROW()-3))</f>
        <v>2266</v>
      </c>
      <c r="J39" cm="1">
        <f t="array" ref="J39">T38+IF(ROW()-3&lt;2,0,INDEX(O:O,ROW()-3))</f>
        <v>11192</v>
      </c>
      <c r="K39" cm="1">
        <f t="array" ref="K39">U38+IF(ROW()-3&lt;2,0,INDEX(P:P,ROW()-3))</f>
        <v>6749</v>
      </c>
      <c r="L39">
        <f>IF(Q39&lt;_xlfn.XLOOKUP(L$1,Capacity!$D$3:$D$7,Capacity!$E$3:$E$7),_xlfn.XLOOKUP(L$1,Capacity!$D$3:$D$7,Capacity!$F$3:$F$7)-Q39,0)</f>
        <v>0</v>
      </c>
      <c r="M39">
        <f>IF(R39&lt;_xlfn.XLOOKUP(M$1,Capacity!$D$3:$D$7,Capacity!$E$3:$E$7),_xlfn.XLOOKUP(M$1,Capacity!$D$3:$D$7,Capacity!$F$3:$F$7)-R39,0)</f>
        <v>0</v>
      </c>
      <c r="N39">
        <f>IF(S39&lt;_xlfn.XLOOKUP(N$1,Capacity!$D$3:$D$7,Capacity!$E$3:$E$7),_xlfn.XLOOKUP(N$1,Capacity!$D$3:$D$7,Capacity!$F$3:$F$7)-S39,0)</f>
        <v>0</v>
      </c>
      <c r="O39">
        <f>IF(T39&lt;_xlfn.XLOOKUP(O$1,Capacity!$D$3:$D$7,Capacity!$E$3:$E$7),_xlfn.XLOOKUP(O$1,Capacity!$D$3:$D$7,Capacity!$F$3:$F$7)-T39,0)</f>
        <v>0</v>
      </c>
      <c r="P39">
        <f>IF(U39&lt;_xlfn.XLOOKUP(P$1,Capacity!$D$3:$D$7,Capacity!$E$3:$E$7),_xlfn.XLOOKUP(P$1,Capacity!$D$3:$D$7,Capacity!$F$3:$F$7)-U39,0)</f>
        <v>0</v>
      </c>
      <c r="Q39">
        <f t="shared" si="1"/>
        <v>4776</v>
      </c>
      <c r="R39">
        <f t="shared" si="2"/>
        <v>18040</v>
      </c>
      <c r="S39">
        <f t="shared" si="3"/>
        <v>2266</v>
      </c>
      <c r="T39">
        <f t="shared" si="4"/>
        <v>11192</v>
      </c>
      <c r="U39">
        <f t="shared" si="5"/>
        <v>6749</v>
      </c>
    </row>
    <row r="40" spans="1:21">
      <c r="A40" s="5">
        <f t="shared" si="6"/>
        <v>46061</v>
      </c>
      <c r="B40">
        <f>SUMIFS('Demand Projection'!$D$2:$D$169,'Demand Projection'!$B$2:$B$169,B$1,'Demand Projection'!$C$2:$C$169,$A40)</f>
        <v>0</v>
      </c>
      <c r="C40">
        <f>SUMIFS('Demand Projection'!$D$2:$D$169,'Demand Projection'!$B$2:$B$169,C$1,'Demand Projection'!$C$2:$C$169,$A40)</f>
        <v>0</v>
      </c>
      <c r="D40">
        <f>SUMIFS('Demand Projection'!$D$2:$D$169,'Demand Projection'!$B$2:$B$169,D$1,'Demand Projection'!$C$2:$C$169,$A40)</f>
        <v>0</v>
      </c>
      <c r="E40">
        <f>SUMIFS('Demand Projection'!$D$2:$D$169,'Demand Projection'!$B$2:$B$169,E$1,'Demand Projection'!$C$2:$C$169,$A40)</f>
        <v>0</v>
      </c>
      <c r="F40">
        <f>SUMIFS('Demand Projection'!$D$2:$D$169,'Demand Projection'!$B$2:$B$169,F$1,'Demand Projection'!$C$2:$C$169,$A40)</f>
        <v>0</v>
      </c>
      <c r="G40" cm="1">
        <f t="array" ref="G40">Q39+IF(ROW()-3&lt;2,0,INDEX(L:L,ROW()-3))</f>
        <v>4776</v>
      </c>
      <c r="H40" cm="1">
        <f t="array" ref="H40">R39+IF(ROW()-3&lt;2,0,INDEX(M:M,ROW()-3))</f>
        <v>29510</v>
      </c>
      <c r="I40" cm="1">
        <f t="array" ref="I40">S39+IF(ROW()-3&lt;2,0,INDEX(N:N,ROW()-3))</f>
        <v>2266</v>
      </c>
      <c r="J40" cm="1">
        <f t="array" ref="J40">T39+IF(ROW()-3&lt;2,0,INDEX(O:O,ROW()-3))</f>
        <v>11192</v>
      </c>
      <c r="K40" cm="1">
        <f t="array" ref="K40">U39+IF(ROW()-3&lt;2,0,INDEX(P:P,ROW()-3))</f>
        <v>6749</v>
      </c>
      <c r="L40">
        <f>IF(Q40&lt;_xlfn.XLOOKUP(L$1,Capacity!$D$3:$D$7,Capacity!$E$3:$E$7),_xlfn.XLOOKUP(L$1,Capacity!$D$3:$D$7,Capacity!$F$3:$F$7)-Q40,0)</f>
        <v>0</v>
      </c>
      <c r="M40">
        <f>IF(R40&lt;_xlfn.XLOOKUP(M$1,Capacity!$D$3:$D$7,Capacity!$E$3:$E$7),_xlfn.XLOOKUP(M$1,Capacity!$D$3:$D$7,Capacity!$F$3:$F$7)-R40,0)</f>
        <v>0</v>
      </c>
      <c r="N40">
        <f>IF(S40&lt;_xlfn.XLOOKUP(N$1,Capacity!$D$3:$D$7,Capacity!$E$3:$E$7),_xlfn.XLOOKUP(N$1,Capacity!$D$3:$D$7,Capacity!$F$3:$F$7)-S40,0)</f>
        <v>0</v>
      </c>
      <c r="O40">
        <f>IF(T40&lt;_xlfn.XLOOKUP(O$1,Capacity!$D$3:$D$7,Capacity!$E$3:$E$7),_xlfn.XLOOKUP(O$1,Capacity!$D$3:$D$7,Capacity!$F$3:$F$7)-T40,0)</f>
        <v>0</v>
      </c>
      <c r="P40">
        <f>IF(U40&lt;_xlfn.XLOOKUP(P$1,Capacity!$D$3:$D$7,Capacity!$E$3:$E$7),_xlfn.XLOOKUP(P$1,Capacity!$D$3:$D$7,Capacity!$F$3:$F$7)-U40,0)</f>
        <v>0</v>
      </c>
      <c r="Q40">
        <f t="shared" si="1"/>
        <v>4776</v>
      </c>
      <c r="R40">
        <f t="shared" si="2"/>
        <v>29510</v>
      </c>
      <c r="S40">
        <f t="shared" si="3"/>
        <v>2266</v>
      </c>
      <c r="T40">
        <f t="shared" si="4"/>
        <v>11192</v>
      </c>
      <c r="U40">
        <f t="shared" si="5"/>
        <v>6749</v>
      </c>
    </row>
    <row r="41" spans="1:21">
      <c r="A41" s="5">
        <f t="shared" si="6"/>
        <v>46062</v>
      </c>
      <c r="B41">
        <f>SUMIFS('Demand Projection'!$D$2:$D$169,'Demand Projection'!$B$2:$B$169,B$1,'Demand Projection'!$C$2:$C$169,$A41)</f>
        <v>0</v>
      </c>
      <c r="C41">
        <f>SUMIFS('Demand Projection'!$D$2:$D$169,'Demand Projection'!$B$2:$B$169,C$1,'Demand Projection'!$C$2:$C$169,$A41)</f>
        <v>0</v>
      </c>
      <c r="D41">
        <f>SUMIFS('Demand Projection'!$D$2:$D$169,'Demand Projection'!$B$2:$B$169,D$1,'Demand Projection'!$C$2:$C$169,$A41)</f>
        <v>525</v>
      </c>
      <c r="E41">
        <f>SUMIFS('Demand Projection'!$D$2:$D$169,'Demand Projection'!$B$2:$B$169,E$1,'Demand Projection'!$C$2:$C$169,$A41)</f>
        <v>0</v>
      </c>
      <c r="F41">
        <f>SUMIFS('Demand Projection'!$D$2:$D$169,'Demand Projection'!$B$2:$B$169,F$1,'Demand Projection'!$C$2:$C$169,$A41)</f>
        <v>0</v>
      </c>
      <c r="G41" cm="1">
        <f t="array" ref="G41">Q40+IF(ROW()-3&lt;2,0,INDEX(L:L,ROW()-3))</f>
        <v>4776</v>
      </c>
      <c r="H41" cm="1">
        <f t="array" ref="H41">R40+IF(ROW()-3&lt;2,0,INDEX(M:M,ROW()-3))</f>
        <v>29510</v>
      </c>
      <c r="I41" cm="1">
        <f t="array" ref="I41">S40+IF(ROW()-3&lt;2,0,INDEX(N:N,ROW()-3))</f>
        <v>2266</v>
      </c>
      <c r="J41" cm="1">
        <f t="array" ref="J41">T40+IF(ROW()-3&lt;2,0,INDEX(O:O,ROW()-3))</f>
        <v>11192</v>
      </c>
      <c r="K41" cm="1">
        <f t="array" ref="K41">U40+IF(ROW()-3&lt;2,0,INDEX(P:P,ROW()-3))</f>
        <v>6749</v>
      </c>
      <c r="L41">
        <f>IF(Q41&lt;_xlfn.XLOOKUP(L$1,Capacity!$D$3:$D$7,Capacity!$E$3:$E$7),_xlfn.XLOOKUP(L$1,Capacity!$D$3:$D$7,Capacity!$F$3:$F$7)-Q41,0)</f>
        <v>0</v>
      </c>
      <c r="M41">
        <f>IF(R41&lt;_xlfn.XLOOKUP(M$1,Capacity!$D$3:$D$7,Capacity!$E$3:$E$7),_xlfn.XLOOKUP(M$1,Capacity!$D$3:$D$7,Capacity!$F$3:$F$7)-R41,0)</f>
        <v>0</v>
      </c>
      <c r="N41">
        <f>IF(S41&lt;_xlfn.XLOOKUP(N$1,Capacity!$D$3:$D$7,Capacity!$E$3:$E$7),_xlfn.XLOOKUP(N$1,Capacity!$D$3:$D$7,Capacity!$F$3:$F$7)-S41,0)</f>
        <v>0</v>
      </c>
      <c r="O41">
        <f>IF(T41&lt;_xlfn.XLOOKUP(O$1,Capacity!$D$3:$D$7,Capacity!$E$3:$E$7),_xlfn.XLOOKUP(O$1,Capacity!$D$3:$D$7,Capacity!$F$3:$F$7)-T41,0)</f>
        <v>0</v>
      </c>
      <c r="P41">
        <f>IF(U41&lt;_xlfn.XLOOKUP(P$1,Capacity!$D$3:$D$7,Capacity!$E$3:$E$7),_xlfn.XLOOKUP(P$1,Capacity!$D$3:$D$7,Capacity!$F$3:$F$7)-U41,0)</f>
        <v>0</v>
      </c>
      <c r="Q41">
        <f t="shared" si="1"/>
        <v>4776</v>
      </c>
      <c r="R41">
        <f t="shared" si="2"/>
        <v>29510</v>
      </c>
      <c r="S41">
        <f t="shared" si="3"/>
        <v>1741</v>
      </c>
      <c r="T41">
        <f t="shared" si="4"/>
        <v>11192</v>
      </c>
      <c r="U41">
        <f t="shared" si="5"/>
        <v>6749</v>
      </c>
    </row>
    <row r="42" spans="1:21">
      <c r="A42" s="5">
        <f t="shared" si="6"/>
        <v>46063</v>
      </c>
      <c r="B42">
        <f>SUMIFS('Demand Projection'!$D$2:$D$169,'Demand Projection'!$B$2:$B$169,B$1,'Demand Projection'!$C$2:$C$169,$A42)</f>
        <v>0</v>
      </c>
      <c r="C42">
        <f>SUMIFS('Demand Projection'!$D$2:$D$169,'Demand Projection'!$B$2:$B$169,C$1,'Demand Projection'!$C$2:$C$169,$A42)</f>
        <v>0</v>
      </c>
      <c r="D42">
        <f>SUMIFS('Demand Projection'!$D$2:$D$169,'Demand Projection'!$B$2:$B$169,D$1,'Demand Projection'!$C$2:$C$169,$A42)</f>
        <v>0</v>
      </c>
      <c r="E42">
        <f>SUMIFS('Demand Projection'!$D$2:$D$169,'Demand Projection'!$B$2:$B$169,E$1,'Demand Projection'!$C$2:$C$169,$A42)</f>
        <v>0</v>
      </c>
      <c r="F42">
        <f>SUMIFS('Demand Projection'!$D$2:$D$169,'Demand Projection'!$B$2:$B$169,F$1,'Demand Projection'!$C$2:$C$169,$A42)</f>
        <v>0</v>
      </c>
      <c r="G42" cm="1">
        <f t="array" ref="G42">Q41+IF(ROW()-3&lt;2,0,INDEX(L:L,ROW()-3))</f>
        <v>4776</v>
      </c>
      <c r="H42" cm="1">
        <f t="array" ref="H42">R41+IF(ROW()-3&lt;2,0,INDEX(M:M,ROW()-3))</f>
        <v>29510</v>
      </c>
      <c r="I42" cm="1">
        <f t="array" ref="I42">S41+IF(ROW()-3&lt;2,0,INDEX(N:N,ROW()-3))</f>
        <v>1741</v>
      </c>
      <c r="J42" cm="1">
        <f t="array" ref="J42">T41+IF(ROW()-3&lt;2,0,INDEX(O:O,ROW()-3))</f>
        <v>11192</v>
      </c>
      <c r="K42" cm="1">
        <f t="array" ref="K42">U41+IF(ROW()-3&lt;2,0,INDEX(P:P,ROW()-3))</f>
        <v>6749</v>
      </c>
      <c r="L42">
        <f>IF(Q42&lt;_xlfn.XLOOKUP(L$1,Capacity!$D$3:$D$7,Capacity!$E$3:$E$7),_xlfn.XLOOKUP(L$1,Capacity!$D$3:$D$7,Capacity!$F$3:$F$7)-Q42,0)</f>
        <v>0</v>
      </c>
      <c r="M42">
        <f>IF(R42&lt;_xlfn.XLOOKUP(M$1,Capacity!$D$3:$D$7,Capacity!$E$3:$E$7),_xlfn.XLOOKUP(M$1,Capacity!$D$3:$D$7,Capacity!$F$3:$F$7)-R42,0)</f>
        <v>0</v>
      </c>
      <c r="N42">
        <f>IF(S42&lt;_xlfn.XLOOKUP(N$1,Capacity!$D$3:$D$7,Capacity!$E$3:$E$7),_xlfn.XLOOKUP(N$1,Capacity!$D$3:$D$7,Capacity!$F$3:$F$7)-S42,0)</f>
        <v>0</v>
      </c>
      <c r="O42">
        <f>IF(T42&lt;_xlfn.XLOOKUP(O$1,Capacity!$D$3:$D$7,Capacity!$E$3:$E$7),_xlfn.XLOOKUP(O$1,Capacity!$D$3:$D$7,Capacity!$F$3:$F$7)-T42,0)</f>
        <v>0</v>
      </c>
      <c r="P42">
        <f>IF(U42&lt;_xlfn.XLOOKUP(P$1,Capacity!$D$3:$D$7,Capacity!$E$3:$E$7),_xlfn.XLOOKUP(P$1,Capacity!$D$3:$D$7,Capacity!$F$3:$F$7)-U42,0)</f>
        <v>0</v>
      </c>
      <c r="Q42">
        <f t="shared" si="1"/>
        <v>4776</v>
      </c>
      <c r="R42">
        <f t="shared" si="2"/>
        <v>29510</v>
      </c>
      <c r="S42">
        <f t="shared" si="3"/>
        <v>1741</v>
      </c>
      <c r="T42">
        <f t="shared" si="4"/>
        <v>11192</v>
      </c>
      <c r="U42">
        <f t="shared" si="5"/>
        <v>6749</v>
      </c>
    </row>
    <row r="43" spans="1:21">
      <c r="A43" s="5">
        <f t="shared" si="6"/>
        <v>46064</v>
      </c>
      <c r="B43">
        <f>SUMIFS('Demand Projection'!$D$2:$D$169,'Demand Projection'!$B$2:$B$169,B$1,'Demand Projection'!$C$2:$C$169,$A43)</f>
        <v>0</v>
      </c>
      <c r="C43">
        <f>SUMIFS('Demand Projection'!$D$2:$D$169,'Demand Projection'!$B$2:$B$169,C$1,'Demand Projection'!$C$2:$C$169,$A43)</f>
        <v>0</v>
      </c>
      <c r="D43">
        <f>SUMIFS('Demand Projection'!$D$2:$D$169,'Demand Projection'!$B$2:$B$169,D$1,'Demand Projection'!$C$2:$C$169,$A43)</f>
        <v>0</v>
      </c>
      <c r="E43">
        <f>SUMIFS('Demand Projection'!$D$2:$D$169,'Demand Projection'!$B$2:$B$169,E$1,'Demand Projection'!$C$2:$C$169,$A43)</f>
        <v>0</v>
      </c>
      <c r="F43">
        <f>SUMIFS('Demand Projection'!$D$2:$D$169,'Demand Projection'!$B$2:$B$169,F$1,'Demand Projection'!$C$2:$C$169,$A43)</f>
        <v>0</v>
      </c>
      <c r="G43" cm="1">
        <f t="array" ref="G43">Q42+IF(ROW()-3&lt;2,0,INDEX(L:L,ROW()-3))</f>
        <v>4776</v>
      </c>
      <c r="H43" cm="1">
        <f t="array" ref="H43">R42+IF(ROW()-3&lt;2,0,INDEX(M:M,ROW()-3))</f>
        <v>29510</v>
      </c>
      <c r="I43" cm="1">
        <f t="array" ref="I43">S42+IF(ROW()-3&lt;2,0,INDEX(N:N,ROW()-3))</f>
        <v>1741</v>
      </c>
      <c r="J43" cm="1">
        <f t="array" ref="J43">T42+IF(ROW()-3&lt;2,0,INDEX(O:O,ROW()-3))</f>
        <v>11192</v>
      </c>
      <c r="K43" cm="1">
        <f t="array" ref="K43">U42+IF(ROW()-3&lt;2,0,INDEX(P:P,ROW()-3))</f>
        <v>6749</v>
      </c>
      <c r="L43">
        <f>IF(Q43&lt;_xlfn.XLOOKUP(L$1,Capacity!$D$3:$D$7,Capacity!$E$3:$E$7),_xlfn.XLOOKUP(L$1,Capacity!$D$3:$D$7,Capacity!$F$3:$F$7)-Q43,0)</f>
        <v>0</v>
      </c>
      <c r="M43">
        <f>IF(R43&lt;_xlfn.XLOOKUP(M$1,Capacity!$D$3:$D$7,Capacity!$E$3:$E$7),_xlfn.XLOOKUP(M$1,Capacity!$D$3:$D$7,Capacity!$F$3:$F$7)-R43,0)</f>
        <v>0</v>
      </c>
      <c r="N43">
        <f>IF(S43&lt;_xlfn.XLOOKUP(N$1,Capacity!$D$3:$D$7,Capacity!$E$3:$E$7),_xlfn.XLOOKUP(N$1,Capacity!$D$3:$D$7,Capacity!$F$3:$F$7)-S43,0)</f>
        <v>0</v>
      </c>
      <c r="O43">
        <f>IF(T43&lt;_xlfn.XLOOKUP(O$1,Capacity!$D$3:$D$7,Capacity!$E$3:$E$7),_xlfn.XLOOKUP(O$1,Capacity!$D$3:$D$7,Capacity!$F$3:$F$7)-T43,0)</f>
        <v>0</v>
      </c>
      <c r="P43">
        <f>IF(U43&lt;_xlfn.XLOOKUP(P$1,Capacity!$D$3:$D$7,Capacity!$E$3:$E$7),_xlfn.XLOOKUP(P$1,Capacity!$D$3:$D$7,Capacity!$F$3:$F$7)-U43,0)</f>
        <v>0</v>
      </c>
      <c r="Q43">
        <f t="shared" si="1"/>
        <v>4776</v>
      </c>
      <c r="R43">
        <f t="shared" si="2"/>
        <v>29510</v>
      </c>
      <c r="S43">
        <f t="shared" si="3"/>
        <v>1741</v>
      </c>
      <c r="T43">
        <f t="shared" si="4"/>
        <v>11192</v>
      </c>
      <c r="U43">
        <f t="shared" si="5"/>
        <v>6749</v>
      </c>
    </row>
    <row r="44" spans="1:21">
      <c r="A44" s="5">
        <f t="shared" si="6"/>
        <v>46065</v>
      </c>
      <c r="B44">
        <f>SUMIFS('Demand Projection'!$D$2:$D$169,'Demand Projection'!$B$2:$B$169,B$1,'Demand Projection'!$C$2:$C$169,$A44)</f>
        <v>0</v>
      </c>
      <c r="C44">
        <f>SUMIFS('Demand Projection'!$D$2:$D$169,'Demand Projection'!$B$2:$B$169,C$1,'Demand Projection'!$C$2:$C$169,$A44)</f>
        <v>0</v>
      </c>
      <c r="D44">
        <f>SUMIFS('Demand Projection'!$D$2:$D$169,'Demand Projection'!$B$2:$B$169,D$1,'Demand Projection'!$C$2:$C$169,$A44)</f>
        <v>0</v>
      </c>
      <c r="E44">
        <f>SUMIFS('Demand Projection'!$D$2:$D$169,'Demand Projection'!$B$2:$B$169,E$1,'Demand Projection'!$C$2:$C$169,$A44)</f>
        <v>0</v>
      </c>
      <c r="F44">
        <f>SUMIFS('Demand Projection'!$D$2:$D$169,'Demand Projection'!$B$2:$B$169,F$1,'Demand Projection'!$C$2:$C$169,$A44)</f>
        <v>420</v>
      </c>
      <c r="G44" cm="1">
        <f t="array" ref="G44">Q43+IF(ROW()-3&lt;2,0,INDEX(L:L,ROW()-3))</f>
        <v>4776</v>
      </c>
      <c r="H44" cm="1">
        <f t="array" ref="H44">R43+IF(ROW()-3&lt;2,0,INDEX(M:M,ROW()-3))</f>
        <v>29510</v>
      </c>
      <c r="I44" cm="1">
        <f t="array" ref="I44">S43+IF(ROW()-3&lt;2,0,INDEX(N:N,ROW()-3))</f>
        <v>1741</v>
      </c>
      <c r="J44" cm="1">
        <f t="array" ref="J44">T43+IF(ROW()-3&lt;2,0,INDEX(O:O,ROW()-3))</f>
        <v>11192</v>
      </c>
      <c r="K44" cm="1">
        <f t="array" ref="K44">U43+IF(ROW()-3&lt;2,0,INDEX(P:P,ROW()-3))</f>
        <v>6749</v>
      </c>
      <c r="L44">
        <f>IF(Q44&lt;_xlfn.XLOOKUP(L$1,Capacity!$D$3:$D$7,Capacity!$E$3:$E$7),_xlfn.XLOOKUP(L$1,Capacity!$D$3:$D$7,Capacity!$F$3:$F$7)-Q44,0)</f>
        <v>0</v>
      </c>
      <c r="M44">
        <f>IF(R44&lt;_xlfn.XLOOKUP(M$1,Capacity!$D$3:$D$7,Capacity!$E$3:$E$7),_xlfn.XLOOKUP(M$1,Capacity!$D$3:$D$7,Capacity!$F$3:$F$7)-R44,0)</f>
        <v>0</v>
      </c>
      <c r="N44">
        <f>IF(S44&lt;_xlfn.XLOOKUP(N$1,Capacity!$D$3:$D$7,Capacity!$E$3:$E$7),_xlfn.XLOOKUP(N$1,Capacity!$D$3:$D$7,Capacity!$F$3:$F$7)-S44,0)</f>
        <v>0</v>
      </c>
      <c r="O44">
        <f>IF(T44&lt;_xlfn.XLOOKUP(O$1,Capacity!$D$3:$D$7,Capacity!$E$3:$E$7),_xlfn.XLOOKUP(O$1,Capacity!$D$3:$D$7,Capacity!$F$3:$F$7)-T44,0)</f>
        <v>0</v>
      </c>
      <c r="P44">
        <f>IF(U44&lt;_xlfn.XLOOKUP(P$1,Capacity!$D$3:$D$7,Capacity!$E$3:$E$7),_xlfn.XLOOKUP(P$1,Capacity!$D$3:$D$7,Capacity!$F$3:$F$7)-U44,0)</f>
        <v>0</v>
      </c>
      <c r="Q44">
        <f t="shared" si="1"/>
        <v>4776</v>
      </c>
      <c r="R44">
        <f t="shared" si="2"/>
        <v>29510</v>
      </c>
      <c r="S44">
        <f t="shared" si="3"/>
        <v>1741</v>
      </c>
      <c r="T44">
        <f t="shared" si="4"/>
        <v>11192</v>
      </c>
      <c r="U44">
        <f t="shared" si="5"/>
        <v>6329</v>
      </c>
    </row>
    <row r="45" spans="1:21">
      <c r="A45" s="5">
        <f t="shared" si="6"/>
        <v>46066</v>
      </c>
      <c r="B45">
        <f>SUMIFS('Demand Projection'!$D$2:$D$169,'Demand Projection'!$B$2:$B$169,B$1,'Demand Projection'!$C$2:$C$169,$A45)</f>
        <v>0</v>
      </c>
      <c r="C45">
        <f>SUMIFS('Demand Projection'!$D$2:$D$169,'Demand Projection'!$B$2:$B$169,C$1,'Demand Projection'!$C$2:$C$169,$A45)</f>
        <v>630</v>
      </c>
      <c r="D45">
        <f>SUMIFS('Demand Projection'!$D$2:$D$169,'Demand Projection'!$B$2:$B$169,D$1,'Demand Projection'!$C$2:$C$169,$A45)</f>
        <v>0</v>
      </c>
      <c r="E45">
        <f>SUMIFS('Demand Projection'!$D$2:$D$169,'Demand Projection'!$B$2:$B$169,E$1,'Demand Projection'!$C$2:$C$169,$A45)</f>
        <v>0</v>
      </c>
      <c r="F45">
        <f>SUMIFS('Demand Projection'!$D$2:$D$169,'Demand Projection'!$B$2:$B$169,F$1,'Demand Projection'!$C$2:$C$169,$A45)</f>
        <v>0</v>
      </c>
      <c r="G45" cm="1">
        <f t="array" ref="G45">Q44+IF(ROW()-3&lt;2,0,INDEX(L:L,ROW()-3))</f>
        <v>4776</v>
      </c>
      <c r="H45" cm="1">
        <f t="array" ref="H45">R44+IF(ROW()-3&lt;2,0,INDEX(M:M,ROW()-3))</f>
        <v>29510</v>
      </c>
      <c r="I45" cm="1">
        <f t="array" ref="I45">S44+IF(ROW()-3&lt;2,0,INDEX(N:N,ROW()-3))</f>
        <v>1741</v>
      </c>
      <c r="J45" cm="1">
        <f t="array" ref="J45">T44+IF(ROW()-3&lt;2,0,INDEX(O:O,ROW()-3))</f>
        <v>11192</v>
      </c>
      <c r="K45" cm="1">
        <f t="array" ref="K45">U44+IF(ROW()-3&lt;2,0,INDEX(P:P,ROW()-3))</f>
        <v>6329</v>
      </c>
      <c r="L45">
        <f>IF(Q45&lt;_xlfn.XLOOKUP(L$1,Capacity!$D$3:$D$7,Capacity!$E$3:$E$7),_xlfn.XLOOKUP(L$1,Capacity!$D$3:$D$7,Capacity!$F$3:$F$7)-Q45,0)</f>
        <v>0</v>
      </c>
      <c r="M45">
        <f>IF(R45&lt;_xlfn.XLOOKUP(M$1,Capacity!$D$3:$D$7,Capacity!$E$3:$E$7),_xlfn.XLOOKUP(M$1,Capacity!$D$3:$D$7,Capacity!$F$3:$F$7)-R45,0)</f>
        <v>0</v>
      </c>
      <c r="N45">
        <f>IF(S45&lt;_xlfn.XLOOKUP(N$1,Capacity!$D$3:$D$7,Capacity!$E$3:$E$7),_xlfn.XLOOKUP(N$1,Capacity!$D$3:$D$7,Capacity!$F$3:$F$7)-S45,0)</f>
        <v>0</v>
      </c>
      <c r="O45">
        <f>IF(T45&lt;_xlfn.XLOOKUP(O$1,Capacity!$D$3:$D$7,Capacity!$E$3:$E$7),_xlfn.XLOOKUP(O$1,Capacity!$D$3:$D$7,Capacity!$F$3:$F$7)-T45,0)</f>
        <v>0</v>
      </c>
      <c r="P45">
        <f>IF(U45&lt;_xlfn.XLOOKUP(P$1,Capacity!$D$3:$D$7,Capacity!$E$3:$E$7),_xlfn.XLOOKUP(P$1,Capacity!$D$3:$D$7,Capacity!$F$3:$F$7)-U45,0)</f>
        <v>0</v>
      </c>
      <c r="Q45">
        <f t="shared" si="1"/>
        <v>4776</v>
      </c>
      <c r="R45">
        <f t="shared" si="2"/>
        <v>28880</v>
      </c>
      <c r="S45">
        <f t="shared" si="3"/>
        <v>1741</v>
      </c>
      <c r="T45">
        <f t="shared" si="4"/>
        <v>11192</v>
      </c>
      <c r="U45">
        <f t="shared" si="5"/>
        <v>6329</v>
      </c>
    </row>
    <row r="46" spans="1:21">
      <c r="A46" s="5">
        <f t="shared" si="6"/>
        <v>46067</v>
      </c>
      <c r="B46">
        <f>SUMIFS('Demand Projection'!$D$2:$D$169,'Demand Projection'!$B$2:$B$169,B$1,'Demand Projection'!$C$2:$C$169,$A46)</f>
        <v>0</v>
      </c>
      <c r="C46">
        <f>SUMIFS('Demand Projection'!$D$2:$D$169,'Demand Projection'!$B$2:$B$169,C$1,'Demand Projection'!$C$2:$C$169,$A46)</f>
        <v>0</v>
      </c>
      <c r="D46">
        <f>SUMIFS('Demand Projection'!$D$2:$D$169,'Demand Projection'!$B$2:$B$169,D$1,'Demand Projection'!$C$2:$C$169,$A46)</f>
        <v>0</v>
      </c>
      <c r="E46">
        <f>SUMIFS('Demand Projection'!$D$2:$D$169,'Demand Projection'!$B$2:$B$169,E$1,'Demand Projection'!$C$2:$C$169,$A46)</f>
        <v>0</v>
      </c>
      <c r="F46">
        <f>SUMIFS('Demand Projection'!$D$2:$D$169,'Demand Projection'!$B$2:$B$169,F$1,'Demand Projection'!$C$2:$C$169,$A46)</f>
        <v>0</v>
      </c>
      <c r="G46" cm="1">
        <f t="array" ref="G46">Q45+IF(ROW()-3&lt;2,0,INDEX(L:L,ROW()-3))</f>
        <v>4776</v>
      </c>
      <c r="H46" cm="1">
        <f t="array" ref="H46">R45+IF(ROW()-3&lt;2,0,INDEX(M:M,ROW()-3))</f>
        <v>28880</v>
      </c>
      <c r="I46" cm="1">
        <f t="array" ref="I46">S45+IF(ROW()-3&lt;2,0,INDEX(N:N,ROW()-3))</f>
        <v>1741</v>
      </c>
      <c r="J46" cm="1">
        <f t="array" ref="J46">T45+IF(ROW()-3&lt;2,0,INDEX(O:O,ROW()-3))</f>
        <v>11192</v>
      </c>
      <c r="K46" cm="1">
        <f t="array" ref="K46">U45+IF(ROW()-3&lt;2,0,INDEX(P:P,ROW()-3))</f>
        <v>6329</v>
      </c>
      <c r="L46">
        <f>IF(Q46&lt;_xlfn.XLOOKUP(L$1,Capacity!$D$3:$D$7,Capacity!$E$3:$E$7),_xlfn.XLOOKUP(L$1,Capacity!$D$3:$D$7,Capacity!$F$3:$F$7)-Q46,0)</f>
        <v>0</v>
      </c>
      <c r="M46">
        <f>IF(R46&lt;_xlfn.XLOOKUP(M$1,Capacity!$D$3:$D$7,Capacity!$E$3:$E$7),_xlfn.XLOOKUP(M$1,Capacity!$D$3:$D$7,Capacity!$F$3:$F$7)-R46,0)</f>
        <v>0</v>
      </c>
      <c r="N46">
        <f>IF(S46&lt;_xlfn.XLOOKUP(N$1,Capacity!$D$3:$D$7,Capacity!$E$3:$E$7),_xlfn.XLOOKUP(N$1,Capacity!$D$3:$D$7,Capacity!$F$3:$F$7)-S46,0)</f>
        <v>0</v>
      </c>
      <c r="O46">
        <f>IF(T46&lt;_xlfn.XLOOKUP(O$1,Capacity!$D$3:$D$7,Capacity!$E$3:$E$7),_xlfn.XLOOKUP(O$1,Capacity!$D$3:$D$7,Capacity!$F$3:$F$7)-T46,0)</f>
        <v>0</v>
      </c>
      <c r="P46">
        <f>IF(U46&lt;_xlfn.XLOOKUP(P$1,Capacity!$D$3:$D$7,Capacity!$E$3:$E$7),_xlfn.XLOOKUP(P$1,Capacity!$D$3:$D$7,Capacity!$F$3:$F$7)-U46,0)</f>
        <v>0</v>
      </c>
      <c r="Q46">
        <f t="shared" si="1"/>
        <v>4776</v>
      </c>
      <c r="R46">
        <f t="shared" si="2"/>
        <v>28880</v>
      </c>
      <c r="S46">
        <f t="shared" si="3"/>
        <v>1741</v>
      </c>
      <c r="T46">
        <f t="shared" si="4"/>
        <v>11192</v>
      </c>
      <c r="U46">
        <f t="shared" si="5"/>
        <v>6329</v>
      </c>
    </row>
    <row r="47" spans="1:21">
      <c r="A47" s="5">
        <f t="shared" si="6"/>
        <v>46068</v>
      </c>
      <c r="B47">
        <f>SUMIFS('Demand Projection'!$D$2:$D$169,'Demand Projection'!$B$2:$B$169,B$1,'Demand Projection'!$C$2:$C$169,$A47)</f>
        <v>0</v>
      </c>
      <c r="C47">
        <f>SUMIFS('Demand Projection'!$D$2:$D$169,'Demand Projection'!$B$2:$B$169,C$1,'Demand Projection'!$C$2:$C$169,$A47)</f>
        <v>0</v>
      </c>
      <c r="D47">
        <f>SUMIFS('Demand Projection'!$D$2:$D$169,'Demand Projection'!$B$2:$B$169,D$1,'Demand Projection'!$C$2:$C$169,$A47)</f>
        <v>0</v>
      </c>
      <c r="E47">
        <f>SUMIFS('Demand Projection'!$D$2:$D$169,'Demand Projection'!$B$2:$B$169,E$1,'Demand Projection'!$C$2:$C$169,$A47)</f>
        <v>0</v>
      </c>
      <c r="F47">
        <f>SUMIFS('Demand Projection'!$D$2:$D$169,'Demand Projection'!$B$2:$B$169,F$1,'Demand Projection'!$C$2:$C$169,$A47)</f>
        <v>0</v>
      </c>
      <c r="G47" cm="1">
        <f t="array" ref="G47">Q46+IF(ROW()-3&lt;2,0,INDEX(L:L,ROW()-3))</f>
        <v>4776</v>
      </c>
      <c r="H47" cm="1">
        <f t="array" ref="H47">R46+IF(ROW()-3&lt;2,0,INDEX(M:M,ROW()-3))</f>
        <v>28880</v>
      </c>
      <c r="I47" cm="1">
        <f t="array" ref="I47">S46+IF(ROW()-3&lt;2,0,INDEX(N:N,ROW()-3))</f>
        <v>1741</v>
      </c>
      <c r="J47" cm="1">
        <f t="array" ref="J47">T46+IF(ROW()-3&lt;2,0,INDEX(O:O,ROW()-3))</f>
        <v>11192</v>
      </c>
      <c r="K47" cm="1">
        <f t="array" ref="K47">U46+IF(ROW()-3&lt;2,0,INDEX(P:P,ROW()-3))</f>
        <v>6329</v>
      </c>
      <c r="L47">
        <f>IF(Q47&lt;_xlfn.XLOOKUP(L$1,Capacity!$D$3:$D$7,Capacity!$E$3:$E$7),_xlfn.XLOOKUP(L$1,Capacity!$D$3:$D$7,Capacity!$F$3:$F$7)-Q47,0)</f>
        <v>0</v>
      </c>
      <c r="M47">
        <f>IF(R47&lt;_xlfn.XLOOKUP(M$1,Capacity!$D$3:$D$7,Capacity!$E$3:$E$7),_xlfn.XLOOKUP(M$1,Capacity!$D$3:$D$7,Capacity!$F$3:$F$7)-R47,0)</f>
        <v>0</v>
      </c>
      <c r="N47">
        <f>IF(S47&lt;_xlfn.XLOOKUP(N$1,Capacity!$D$3:$D$7,Capacity!$E$3:$E$7),_xlfn.XLOOKUP(N$1,Capacity!$D$3:$D$7,Capacity!$F$3:$F$7)-S47,0)</f>
        <v>0</v>
      </c>
      <c r="O47">
        <f>IF(T47&lt;_xlfn.XLOOKUP(O$1,Capacity!$D$3:$D$7,Capacity!$E$3:$E$7),_xlfn.XLOOKUP(O$1,Capacity!$D$3:$D$7,Capacity!$F$3:$F$7)-T47,0)</f>
        <v>0</v>
      </c>
      <c r="P47">
        <f>IF(U47&lt;_xlfn.XLOOKUP(P$1,Capacity!$D$3:$D$7,Capacity!$E$3:$E$7),_xlfn.XLOOKUP(P$1,Capacity!$D$3:$D$7,Capacity!$F$3:$F$7)-U47,0)</f>
        <v>0</v>
      </c>
      <c r="Q47">
        <f t="shared" si="1"/>
        <v>4776</v>
      </c>
      <c r="R47">
        <f t="shared" si="2"/>
        <v>28880</v>
      </c>
      <c r="S47">
        <f t="shared" si="3"/>
        <v>1741</v>
      </c>
      <c r="T47">
        <f t="shared" si="4"/>
        <v>11192</v>
      </c>
      <c r="U47">
        <f t="shared" si="5"/>
        <v>6329</v>
      </c>
    </row>
    <row r="48" spans="1:21">
      <c r="A48" s="5">
        <f t="shared" si="6"/>
        <v>46069</v>
      </c>
      <c r="B48">
        <f>SUMIFS('Demand Projection'!$D$2:$D$169,'Demand Projection'!$B$2:$B$169,B$1,'Demand Projection'!$C$2:$C$169,$A48)</f>
        <v>0</v>
      </c>
      <c r="C48">
        <f>SUMIFS('Demand Projection'!$D$2:$D$169,'Demand Projection'!$B$2:$B$169,C$1,'Demand Projection'!$C$2:$C$169,$A48)</f>
        <v>0</v>
      </c>
      <c r="D48">
        <f>SUMIFS('Demand Projection'!$D$2:$D$169,'Demand Projection'!$B$2:$B$169,D$1,'Demand Projection'!$C$2:$C$169,$A48)</f>
        <v>0</v>
      </c>
      <c r="E48">
        <f>SUMIFS('Demand Projection'!$D$2:$D$169,'Demand Projection'!$B$2:$B$169,E$1,'Demand Projection'!$C$2:$C$169,$A48)</f>
        <v>0</v>
      </c>
      <c r="F48">
        <f>SUMIFS('Demand Projection'!$D$2:$D$169,'Demand Projection'!$B$2:$B$169,F$1,'Demand Projection'!$C$2:$C$169,$A48)</f>
        <v>0</v>
      </c>
      <c r="G48" cm="1">
        <f t="array" ref="G48">Q47+IF(ROW()-3&lt;2,0,INDEX(L:L,ROW()-3))</f>
        <v>4776</v>
      </c>
      <c r="H48" cm="1">
        <f t="array" ref="H48">R47+IF(ROW()-3&lt;2,0,INDEX(M:M,ROW()-3))</f>
        <v>28880</v>
      </c>
      <c r="I48" cm="1">
        <f t="array" ref="I48">S47+IF(ROW()-3&lt;2,0,INDEX(N:N,ROW()-3))</f>
        <v>1741</v>
      </c>
      <c r="J48" cm="1">
        <f t="array" ref="J48">T47+IF(ROW()-3&lt;2,0,INDEX(O:O,ROW()-3))</f>
        <v>11192</v>
      </c>
      <c r="K48" cm="1">
        <f t="array" ref="K48">U47+IF(ROW()-3&lt;2,0,INDEX(P:P,ROW()-3))</f>
        <v>6329</v>
      </c>
      <c r="L48">
        <f>IF(Q48&lt;_xlfn.XLOOKUP(L$1,Capacity!$D$3:$D$7,Capacity!$E$3:$E$7),_xlfn.XLOOKUP(L$1,Capacity!$D$3:$D$7,Capacity!$F$3:$F$7)-Q48,0)</f>
        <v>0</v>
      </c>
      <c r="M48">
        <f>IF(R48&lt;_xlfn.XLOOKUP(M$1,Capacity!$D$3:$D$7,Capacity!$E$3:$E$7),_xlfn.XLOOKUP(M$1,Capacity!$D$3:$D$7,Capacity!$F$3:$F$7)-R48,0)</f>
        <v>0</v>
      </c>
      <c r="N48">
        <f>IF(S48&lt;_xlfn.XLOOKUP(N$1,Capacity!$D$3:$D$7,Capacity!$E$3:$E$7),_xlfn.XLOOKUP(N$1,Capacity!$D$3:$D$7,Capacity!$F$3:$F$7)-S48,0)</f>
        <v>0</v>
      </c>
      <c r="O48">
        <f>IF(T48&lt;_xlfn.XLOOKUP(O$1,Capacity!$D$3:$D$7,Capacity!$E$3:$E$7),_xlfn.XLOOKUP(O$1,Capacity!$D$3:$D$7,Capacity!$F$3:$F$7)-T48,0)</f>
        <v>0</v>
      </c>
      <c r="P48">
        <f>IF(U48&lt;_xlfn.XLOOKUP(P$1,Capacity!$D$3:$D$7,Capacity!$E$3:$E$7),_xlfn.XLOOKUP(P$1,Capacity!$D$3:$D$7,Capacity!$F$3:$F$7)-U48,0)</f>
        <v>0</v>
      </c>
      <c r="Q48">
        <f t="shared" si="1"/>
        <v>4776</v>
      </c>
      <c r="R48">
        <f t="shared" si="2"/>
        <v>28880</v>
      </c>
      <c r="S48">
        <f t="shared" si="3"/>
        <v>1741</v>
      </c>
      <c r="T48">
        <f t="shared" si="4"/>
        <v>11192</v>
      </c>
      <c r="U48">
        <f t="shared" si="5"/>
        <v>6329</v>
      </c>
    </row>
    <row r="49" spans="1:21">
      <c r="A49" s="5">
        <f t="shared" si="6"/>
        <v>46070</v>
      </c>
      <c r="B49">
        <f>SUMIFS('Demand Projection'!$D$2:$D$169,'Demand Projection'!$B$2:$B$169,B$1,'Demand Projection'!$C$2:$C$169,$A49)</f>
        <v>0</v>
      </c>
      <c r="C49">
        <f>SUMIFS('Demand Projection'!$D$2:$D$169,'Demand Projection'!$B$2:$B$169,C$1,'Demand Projection'!$C$2:$C$169,$A49)</f>
        <v>0</v>
      </c>
      <c r="D49">
        <f>SUMIFS('Demand Projection'!$D$2:$D$169,'Demand Projection'!$B$2:$B$169,D$1,'Demand Projection'!$C$2:$C$169,$A49)</f>
        <v>0</v>
      </c>
      <c r="E49">
        <f>SUMIFS('Demand Projection'!$D$2:$D$169,'Demand Projection'!$B$2:$B$169,E$1,'Demand Projection'!$C$2:$C$169,$A49)</f>
        <v>968</v>
      </c>
      <c r="F49">
        <f>SUMIFS('Demand Projection'!$D$2:$D$169,'Demand Projection'!$B$2:$B$169,F$1,'Demand Projection'!$C$2:$C$169,$A49)</f>
        <v>0</v>
      </c>
      <c r="G49" cm="1">
        <f t="array" ref="G49">Q48+IF(ROW()-3&lt;2,0,INDEX(L:L,ROW()-3))</f>
        <v>4776</v>
      </c>
      <c r="H49" cm="1">
        <f t="array" ref="H49">R48+IF(ROW()-3&lt;2,0,INDEX(M:M,ROW()-3))</f>
        <v>28880</v>
      </c>
      <c r="I49" cm="1">
        <f t="array" ref="I49">S48+IF(ROW()-3&lt;2,0,INDEX(N:N,ROW()-3))</f>
        <v>1741</v>
      </c>
      <c r="J49" cm="1">
        <f t="array" ref="J49">T48+IF(ROW()-3&lt;2,0,INDEX(O:O,ROW()-3))</f>
        <v>11192</v>
      </c>
      <c r="K49" cm="1">
        <f t="array" ref="K49">U48+IF(ROW()-3&lt;2,0,INDEX(P:P,ROW()-3))</f>
        <v>6329</v>
      </c>
      <c r="L49">
        <f>IF(Q49&lt;_xlfn.XLOOKUP(L$1,Capacity!$D$3:$D$7,Capacity!$E$3:$E$7),_xlfn.XLOOKUP(L$1,Capacity!$D$3:$D$7,Capacity!$F$3:$F$7)-Q49,0)</f>
        <v>0</v>
      </c>
      <c r="M49">
        <f>IF(R49&lt;_xlfn.XLOOKUP(M$1,Capacity!$D$3:$D$7,Capacity!$E$3:$E$7),_xlfn.XLOOKUP(M$1,Capacity!$D$3:$D$7,Capacity!$F$3:$F$7)-R49,0)</f>
        <v>0</v>
      </c>
      <c r="N49">
        <f>IF(S49&lt;_xlfn.XLOOKUP(N$1,Capacity!$D$3:$D$7,Capacity!$E$3:$E$7),_xlfn.XLOOKUP(N$1,Capacity!$D$3:$D$7,Capacity!$F$3:$F$7)-S49,0)</f>
        <v>0</v>
      </c>
      <c r="O49">
        <f>IF(T49&lt;_xlfn.XLOOKUP(O$1,Capacity!$D$3:$D$7,Capacity!$E$3:$E$7),_xlfn.XLOOKUP(O$1,Capacity!$D$3:$D$7,Capacity!$F$3:$F$7)-T49,0)</f>
        <v>0</v>
      </c>
      <c r="P49">
        <f>IF(U49&lt;_xlfn.XLOOKUP(P$1,Capacity!$D$3:$D$7,Capacity!$E$3:$E$7),_xlfn.XLOOKUP(P$1,Capacity!$D$3:$D$7,Capacity!$F$3:$F$7)-U49,0)</f>
        <v>0</v>
      </c>
      <c r="Q49">
        <f t="shared" si="1"/>
        <v>4776</v>
      </c>
      <c r="R49">
        <f t="shared" si="2"/>
        <v>28880</v>
      </c>
      <c r="S49">
        <f t="shared" si="3"/>
        <v>1741</v>
      </c>
      <c r="T49">
        <f t="shared" si="4"/>
        <v>10224</v>
      </c>
      <c r="U49">
        <f t="shared" si="5"/>
        <v>6329</v>
      </c>
    </row>
    <row r="50" spans="1:21">
      <c r="A50" s="5">
        <f t="shared" si="6"/>
        <v>46071</v>
      </c>
      <c r="B50">
        <f>SUMIFS('Demand Projection'!$D$2:$D$169,'Demand Projection'!$B$2:$B$169,B$1,'Demand Projection'!$C$2:$C$169,$A50)</f>
        <v>0</v>
      </c>
      <c r="C50">
        <f>SUMIFS('Demand Projection'!$D$2:$D$169,'Demand Projection'!$B$2:$B$169,C$1,'Demand Projection'!$C$2:$C$169,$A50)</f>
        <v>0</v>
      </c>
      <c r="D50">
        <f>SUMIFS('Demand Projection'!$D$2:$D$169,'Demand Projection'!$B$2:$B$169,D$1,'Demand Projection'!$C$2:$C$169,$A50)</f>
        <v>0</v>
      </c>
      <c r="E50">
        <f>SUMIFS('Demand Projection'!$D$2:$D$169,'Demand Projection'!$B$2:$B$169,E$1,'Demand Projection'!$C$2:$C$169,$A50)</f>
        <v>0</v>
      </c>
      <c r="F50">
        <f>SUMIFS('Demand Projection'!$D$2:$D$169,'Demand Projection'!$B$2:$B$169,F$1,'Demand Projection'!$C$2:$C$169,$A50)</f>
        <v>0</v>
      </c>
      <c r="G50" cm="1">
        <f t="array" ref="G50">Q49+IF(ROW()-3&lt;2,0,INDEX(L:L,ROW()-3))</f>
        <v>4776</v>
      </c>
      <c r="H50" cm="1">
        <f t="array" ref="H50">R49+IF(ROW()-3&lt;2,0,INDEX(M:M,ROW()-3))</f>
        <v>28880</v>
      </c>
      <c r="I50" cm="1">
        <f t="array" ref="I50">S49+IF(ROW()-3&lt;2,0,INDEX(N:N,ROW()-3))</f>
        <v>1741</v>
      </c>
      <c r="J50" cm="1">
        <f t="array" ref="J50">T49+IF(ROW()-3&lt;2,0,INDEX(O:O,ROW()-3))</f>
        <v>10224</v>
      </c>
      <c r="K50" cm="1">
        <f t="array" ref="K50">U49+IF(ROW()-3&lt;2,0,INDEX(P:P,ROW()-3))</f>
        <v>6329</v>
      </c>
      <c r="L50">
        <f>IF(Q50&lt;_xlfn.XLOOKUP(L$1,Capacity!$D$3:$D$7,Capacity!$E$3:$E$7),_xlfn.XLOOKUP(L$1,Capacity!$D$3:$D$7,Capacity!$F$3:$F$7)-Q50,0)</f>
        <v>0</v>
      </c>
      <c r="M50">
        <f>IF(R50&lt;_xlfn.XLOOKUP(M$1,Capacity!$D$3:$D$7,Capacity!$E$3:$E$7),_xlfn.XLOOKUP(M$1,Capacity!$D$3:$D$7,Capacity!$F$3:$F$7)-R50,0)</f>
        <v>0</v>
      </c>
      <c r="N50">
        <f>IF(S50&lt;_xlfn.XLOOKUP(N$1,Capacity!$D$3:$D$7,Capacity!$E$3:$E$7),_xlfn.XLOOKUP(N$1,Capacity!$D$3:$D$7,Capacity!$F$3:$F$7)-S50,0)</f>
        <v>0</v>
      </c>
      <c r="O50">
        <f>IF(T50&lt;_xlfn.XLOOKUP(O$1,Capacity!$D$3:$D$7,Capacity!$E$3:$E$7),_xlfn.XLOOKUP(O$1,Capacity!$D$3:$D$7,Capacity!$F$3:$F$7)-T50,0)</f>
        <v>0</v>
      </c>
      <c r="P50">
        <f>IF(U50&lt;_xlfn.XLOOKUP(P$1,Capacity!$D$3:$D$7,Capacity!$E$3:$E$7),_xlfn.XLOOKUP(P$1,Capacity!$D$3:$D$7,Capacity!$F$3:$F$7)-U50,0)</f>
        <v>0</v>
      </c>
      <c r="Q50">
        <f t="shared" si="1"/>
        <v>4776</v>
      </c>
      <c r="R50">
        <f t="shared" si="2"/>
        <v>28880</v>
      </c>
      <c r="S50">
        <f t="shared" si="3"/>
        <v>1741</v>
      </c>
      <c r="T50">
        <f t="shared" si="4"/>
        <v>10224</v>
      </c>
      <c r="U50">
        <f t="shared" si="5"/>
        <v>6329</v>
      </c>
    </row>
    <row r="51" spans="1:21">
      <c r="A51" s="5">
        <f t="shared" si="6"/>
        <v>46072</v>
      </c>
      <c r="B51">
        <f>SUMIFS('Demand Projection'!$D$2:$D$169,'Demand Projection'!$B$2:$B$169,B$1,'Demand Projection'!$C$2:$C$169,$A51)</f>
        <v>0</v>
      </c>
      <c r="C51">
        <f>SUMIFS('Demand Projection'!$D$2:$D$169,'Demand Projection'!$B$2:$B$169,C$1,'Demand Projection'!$C$2:$C$169,$A51)</f>
        <v>0</v>
      </c>
      <c r="D51">
        <f>SUMIFS('Demand Projection'!$D$2:$D$169,'Demand Projection'!$B$2:$B$169,D$1,'Demand Projection'!$C$2:$C$169,$A51)</f>
        <v>0</v>
      </c>
      <c r="E51">
        <f>SUMIFS('Demand Projection'!$D$2:$D$169,'Demand Projection'!$B$2:$B$169,E$1,'Demand Projection'!$C$2:$C$169,$A51)</f>
        <v>0</v>
      </c>
      <c r="F51">
        <f>SUMIFS('Demand Projection'!$D$2:$D$169,'Demand Projection'!$B$2:$B$169,F$1,'Demand Projection'!$C$2:$C$169,$A51)</f>
        <v>0</v>
      </c>
      <c r="G51" cm="1">
        <f t="array" ref="G51">Q50+IF(ROW()-3&lt;2,0,INDEX(L:L,ROW()-3))</f>
        <v>4776</v>
      </c>
      <c r="H51" cm="1">
        <f t="array" ref="H51">R50+IF(ROW()-3&lt;2,0,INDEX(M:M,ROW()-3))</f>
        <v>28880</v>
      </c>
      <c r="I51" cm="1">
        <f t="array" ref="I51">S50+IF(ROW()-3&lt;2,0,INDEX(N:N,ROW()-3))</f>
        <v>1741</v>
      </c>
      <c r="J51" cm="1">
        <f t="array" ref="J51">T50+IF(ROW()-3&lt;2,0,INDEX(O:O,ROW()-3))</f>
        <v>10224</v>
      </c>
      <c r="K51" cm="1">
        <f t="array" ref="K51">U50+IF(ROW()-3&lt;2,0,INDEX(P:P,ROW()-3))</f>
        <v>6329</v>
      </c>
      <c r="L51">
        <f>IF(Q51&lt;_xlfn.XLOOKUP(L$1,Capacity!$D$3:$D$7,Capacity!$E$3:$E$7),_xlfn.XLOOKUP(L$1,Capacity!$D$3:$D$7,Capacity!$F$3:$F$7)-Q51,0)</f>
        <v>0</v>
      </c>
      <c r="M51">
        <f>IF(R51&lt;_xlfn.XLOOKUP(M$1,Capacity!$D$3:$D$7,Capacity!$E$3:$E$7),_xlfn.XLOOKUP(M$1,Capacity!$D$3:$D$7,Capacity!$F$3:$F$7)-R51,0)</f>
        <v>0</v>
      </c>
      <c r="N51">
        <f>IF(S51&lt;_xlfn.XLOOKUP(N$1,Capacity!$D$3:$D$7,Capacity!$E$3:$E$7),_xlfn.XLOOKUP(N$1,Capacity!$D$3:$D$7,Capacity!$F$3:$F$7)-S51,0)</f>
        <v>0</v>
      </c>
      <c r="O51">
        <f>IF(T51&lt;_xlfn.XLOOKUP(O$1,Capacity!$D$3:$D$7,Capacity!$E$3:$E$7),_xlfn.XLOOKUP(O$1,Capacity!$D$3:$D$7,Capacity!$F$3:$F$7)-T51,0)</f>
        <v>0</v>
      </c>
      <c r="P51">
        <f>IF(U51&lt;_xlfn.XLOOKUP(P$1,Capacity!$D$3:$D$7,Capacity!$E$3:$E$7),_xlfn.XLOOKUP(P$1,Capacity!$D$3:$D$7,Capacity!$F$3:$F$7)-U51,0)</f>
        <v>0</v>
      </c>
      <c r="Q51">
        <f t="shared" si="1"/>
        <v>4776</v>
      </c>
      <c r="R51">
        <f t="shared" si="2"/>
        <v>28880</v>
      </c>
      <c r="S51">
        <f t="shared" si="3"/>
        <v>1741</v>
      </c>
      <c r="T51">
        <f t="shared" si="4"/>
        <v>10224</v>
      </c>
      <c r="U51">
        <f t="shared" si="5"/>
        <v>6329</v>
      </c>
    </row>
    <row r="52" spans="1:21">
      <c r="A52" s="5">
        <f t="shared" si="6"/>
        <v>46073</v>
      </c>
      <c r="B52">
        <f>SUMIFS('Demand Projection'!$D$2:$D$169,'Demand Projection'!$B$2:$B$169,B$1,'Demand Projection'!$C$2:$C$169,$A52)</f>
        <v>0</v>
      </c>
      <c r="C52">
        <f>SUMIFS('Demand Projection'!$D$2:$D$169,'Demand Projection'!$B$2:$B$169,C$1,'Demand Projection'!$C$2:$C$169,$A52)</f>
        <v>0</v>
      </c>
      <c r="D52">
        <f>SUMIFS('Demand Projection'!$D$2:$D$169,'Demand Projection'!$B$2:$B$169,D$1,'Demand Projection'!$C$2:$C$169,$A52)</f>
        <v>860</v>
      </c>
      <c r="E52">
        <f>SUMIFS('Demand Projection'!$D$2:$D$169,'Demand Projection'!$B$2:$B$169,E$1,'Demand Projection'!$C$2:$C$169,$A52)</f>
        <v>0</v>
      </c>
      <c r="F52">
        <f>SUMIFS('Demand Projection'!$D$2:$D$169,'Demand Projection'!$B$2:$B$169,F$1,'Demand Projection'!$C$2:$C$169,$A52)</f>
        <v>0</v>
      </c>
      <c r="G52" cm="1">
        <f t="array" ref="G52">Q51+IF(ROW()-3&lt;2,0,INDEX(L:L,ROW()-3))</f>
        <v>4776</v>
      </c>
      <c r="H52" cm="1">
        <f t="array" ref="H52">R51+IF(ROW()-3&lt;2,0,INDEX(M:M,ROW()-3))</f>
        <v>28880</v>
      </c>
      <c r="I52" cm="1">
        <f t="array" ref="I52">S51+IF(ROW()-3&lt;2,0,INDEX(N:N,ROW()-3))</f>
        <v>1741</v>
      </c>
      <c r="J52" cm="1">
        <f t="array" ref="J52">T51+IF(ROW()-3&lt;2,0,INDEX(O:O,ROW()-3))</f>
        <v>10224</v>
      </c>
      <c r="K52" cm="1">
        <f t="array" ref="K52">U51+IF(ROW()-3&lt;2,0,INDEX(P:P,ROW()-3))</f>
        <v>6329</v>
      </c>
      <c r="L52">
        <f>IF(Q52&lt;_xlfn.XLOOKUP(L$1,Capacity!$D$3:$D$7,Capacity!$E$3:$E$7),_xlfn.XLOOKUP(L$1,Capacity!$D$3:$D$7,Capacity!$F$3:$F$7)-Q52,0)</f>
        <v>0</v>
      </c>
      <c r="M52">
        <f>IF(R52&lt;_xlfn.XLOOKUP(M$1,Capacity!$D$3:$D$7,Capacity!$E$3:$E$7),_xlfn.XLOOKUP(M$1,Capacity!$D$3:$D$7,Capacity!$F$3:$F$7)-R52,0)</f>
        <v>0</v>
      </c>
      <c r="N52">
        <f>IF(S52&lt;_xlfn.XLOOKUP(N$1,Capacity!$D$3:$D$7,Capacity!$E$3:$E$7),_xlfn.XLOOKUP(N$1,Capacity!$D$3:$D$7,Capacity!$F$3:$F$7)-S52,0)</f>
        <v>0</v>
      </c>
      <c r="O52">
        <f>IF(T52&lt;_xlfn.XLOOKUP(O$1,Capacity!$D$3:$D$7,Capacity!$E$3:$E$7),_xlfn.XLOOKUP(O$1,Capacity!$D$3:$D$7,Capacity!$F$3:$F$7)-T52,0)</f>
        <v>0</v>
      </c>
      <c r="P52">
        <f>IF(U52&lt;_xlfn.XLOOKUP(P$1,Capacity!$D$3:$D$7,Capacity!$E$3:$E$7),_xlfn.XLOOKUP(P$1,Capacity!$D$3:$D$7,Capacity!$F$3:$F$7)-U52,0)</f>
        <v>0</v>
      </c>
      <c r="Q52">
        <f t="shared" si="1"/>
        <v>4776</v>
      </c>
      <c r="R52">
        <f t="shared" si="2"/>
        <v>28880</v>
      </c>
      <c r="S52">
        <f t="shared" si="3"/>
        <v>881</v>
      </c>
      <c r="T52">
        <f t="shared" si="4"/>
        <v>10224</v>
      </c>
      <c r="U52">
        <f t="shared" si="5"/>
        <v>6329</v>
      </c>
    </row>
    <row r="53" spans="1:21">
      <c r="A53" s="5">
        <f t="shared" si="6"/>
        <v>46074</v>
      </c>
      <c r="B53">
        <f>SUMIFS('Demand Projection'!$D$2:$D$169,'Demand Projection'!$B$2:$B$169,B$1,'Demand Projection'!$C$2:$C$169,$A53)</f>
        <v>0</v>
      </c>
      <c r="C53">
        <f>SUMIFS('Demand Projection'!$D$2:$D$169,'Demand Projection'!$B$2:$B$169,C$1,'Demand Projection'!$C$2:$C$169,$A53)</f>
        <v>0</v>
      </c>
      <c r="D53">
        <f>SUMIFS('Demand Projection'!$D$2:$D$169,'Demand Projection'!$B$2:$B$169,D$1,'Demand Projection'!$C$2:$C$169,$A53)</f>
        <v>0</v>
      </c>
      <c r="E53">
        <f>SUMIFS('Demand Projection'!$D$2:$D$169,'Demand Projection'!$B$2:$B$169,E$1,'Demand Projection'!$C$2:$C$169,$A53)</f>
        <v>0</v>
      </c>
      <c r="F53">
        <f>SUMIFS('Demand Projection'!$D$2:$D$169,'Demand Projection'!$B$2:$B$169,F$1,'Demand Projection'!$C$2:$C$169,$A53)</f>
        <v>0</v>
      </c>
      <c r="G53" cm="1">
        <f t="array" ref="G53">Q52+IF(ROW()-3&lt;2,0,INDEX(L:L,ROW()-3))</f>
        <v>4776</v>
      </c>
      <c r="H53" cm="1">
        <f t="array" ref="H53">R52+IF(ROW()-3&lt;2,0,INDEX(M:M,ROW()-3))</f>
        <v>28880</v>
      </c>
      <c r="I53" cm="1">
        <f t="array" ref="I53">S52+IF(ROW()-3&lt;2,0,INDEX(N:N,ROW()-3))</f>
        <v>881</v>
      </c>
      <c r="J53" cm="1">
        <f t="array" ref="J53">T52+IF(ROW()-3&lt;2,0,INDEX(O:O,ROW()-3))</f>
        <v>10224</v>
      </c>
      <c r="K53" cm="1">
        <f t="array" ref="K53">U52+IF(ROW()-3&lt;2,0,INDEX(P:P,ROW()-3))</f>
        <v>6329</v>
      </c>
      <c r="L53">
        <f>IF(Q53&lt;_xlfn.XLOOKUP(L$1,Capacity!$D$3:$D$7,Capacity!$E$3:$E$7),_xlfn.XLOOKUP(L$1,Capacity!$D$3:$D$7,Capacity!$F$3:$F$7)-Q53,0)</f>
        <v>0</v>
      </c>
      <c r="M53">
        <f>IF(R53&lt;_xlfn.XLOOKUP(M$1,Capacity!$D$3:$D$7,Capacity!$E$3:$E$7),_xlfn.XLOOKUP(M$1,Capacity!$D$3:$D$7,Capacity!$F$3:$F$7)-R53,0)</f>
        <v>0</v>
      </c>
      <c r="N53">
        <f>IF(S53&lt;_xlfn.XLOOKUP(N$1,Capacity!$D$3:$D$7,Capacity!$E$3:$E$7),_xlfn.XLOOKUP(N$1,Capacity!$D$3:$D$7,Capacity!$F$3:$F$7)-S53,0)</f>
        <v>0</v>
      </c>
      <c r="O53">
        <f>IF(T53&lt;_xlfn.XLOOKUP(O$1,Capacity!$D$3:$D$7,Capacity!$E$3:$E$7),_xlfn.XLOOKUP(O$1,Capacity!$D$3:$D$7,Capacity!$F$3:$F$7)-T53,0)</f>
        <v>0</v>
      </c>
      <c r="P53">
        <f>IF(U53&lt;_xlfn.XLOOKUP(P$1,Capacity!$D$3:$D$7,Capacity!$E$3:$E$7),_xlfn.XLOOKUP(P$1,Capacity!$D$3:$D$7,Capacity!$F$3:$F$7)-U53,0)</f>
        <v>0</v>
      </c>
      <c r="Q53">
        <f t="shared" si="1"/>
        <v>4776</v>
      </c>
      <c r="R53">
        <f t="shared" si="2"/>
        <v>28880</v>
      </c>
      <c r="S53">
        <f t="shared" si="3"/>
        <v>881</v>
      </c>
      <c r="T53">
        <f t="shared" si="4"/>
        <v>10224</v>
      </c>
      <c r="U53">
        <f t="shared" si="5"/>
        <v>6329</v>
      </c>
    </row>
    <row r="54" spans="1:21">
      <c r="A54" s="5">
        <f t="shared" si="6"/>
        <v>46075</v>
      </c>
      <c r="B54">
        <f>SUMIFS('Demand Projection'!$D$2:$D$169,'Demand Projection'!$B$2:$B$169,B$1,'Demand Projection'!$C$2:$C$169,$A54)</f>
        <v>0</v>
      </c>
      <c r="C54">
        <f>SUMIFS('Demand Projection'!$D$2:$D$169,'Demand Projection'!$B$2:$B$169,C$1,'Demand Projection'!$C$2:$C$169,$A54)</f>
        <v>0</v>
      </c>
      <c r="D54">
        <f>SUMIFS('Demand Projection'!$D$2:$D$169,'Demand Projection'!$B$2:$B$169,D$1,'Demand Projection'!$C$2:$C$169,$A54)</f>
        <v>0</v>
      </c>
      <c r="E54">
        <f>SUMIFS('Demand Projection'!$D$2:$D$169,'Demand Projection'!$B$2:$B$169,E$1,'Demand Projection'!$C$2:$C$169,$A54)</f>
        <v>0</v>
      </c>
      <c r="F54">
        <f>SUMIFS('Demand Projection'!$D$2:$D$169,'Demand Projection'!$B$2:$B$169,F$1,'Demand Projection'!$C$2:$C$169,$A54)</f>
        <v>0</v>
      </c>
      <c r="G54" cm="1">
        <f t="array" ref="G54">Q53+IF(ROW()-3&lt;2,0,INDEX(L:L,ROW()-3))</f>
        <v>4776</v>
      </c>
      <c r="H54" cm="1">
        <f t="array" ref="H54">R53+IF(ROW()-3&lt;2,0,INDEX(M:M,ROW()-3))</f>
        <v>28880</v>
      </c>
      <c r="I54" cm="1">
        <f t="array" ref="I54">S53+IF(ROW()-3&lt;2,0,INDEX(N:N,ROW()-3))</f>
        <v>881</v>
      </c>
      <c r="J54" cm="1">
        <f t="array" ref="J54">T53+IF(ROW()-3&lt;2,0,INDEX(O:O,ROW()-3))</f>
        <v>10224</v>
      </c>
      <c r="K54" cm="1">
        <f t="array" ref="K54">U53+IF(ROW()-3&lt;2,0,INDEX(P:P,ROW()-3))</f>
        <v>6329</v>
      </c>
      <c r="L54">
        <f>IF(Q54&lt;_xlfn.XLOOKUP(L$1,Capacity!$D$3:$D$7,Capacity!$E$3:$E$7),_xlfn.XLOOKUP(L$1,Capacity!$D$3:$D$7,Capacity!$F$3:$F$7)-Q54,0)</f>
        <v>0</v>
      </c>
      <c r="M54">
        <f>IF(R54&lt;_xlfn.XLOOKUP(M$1,Capacity!$D$3:$D$7,Capacity!$E$3:$E$7),_xlfn.XLOOKUP(M$1,Capacity!$D$3:$D$7,Capacity!$F$3:$F$7)-R54,0)</f>
        <v>0</v>
      </c>
      <c r="N54">
        <f>IF(S54&lt;_xlfn.XLOOKUP(N$1,Capacity!$D$3:$D$7,Capacity!$E$3:$E$7),_xlfn.XLOOKUP(N$1,Capacity!$D$3:$D$7,Capacity!$F$3:$F$7)-S54,0)</f>
        <v>0</v>
      </c>
      <c r="O54">
        <f>IF(T54&lt;_xlfn.XLOOKUP(O$1,Capacity!$D$3:$D$7,Capacity!$E$3:$E$7),_xlfn.XLOOKUP(O$1,Capacity!$D$3:$D$7,Capacity!$F$3:$F$7)-T54,0)</f>
        <v>0</v>
      </c>
      <c r="P54">
        <f>IF(U54&lt;_xlfn.XLOOKUP(P$1,Capacity!$D$3:$D$7,Capacity!$E$3:$E$7),_xlfn.XLOOKUP(P$1,Capacity!$D$3:$D$7,Capacity!$F$3:$F$7)-U54,0)</f>
        <v>0</v>
      </c>
      <c r="Q54">
        <f t="shared" si="1"/>
        <v>4776</v>
      </c>
      <c r="R54">
        <f t="shared" si="2"/>
        <v>28880</v>
      </c>
      <c r="S54">
        <f t="shared" si="3"/>
        <v>881</v>
      </c>
      <c r="T54">
        <f t="shared" si="4"/>
        <v>10224</v>
      </c>
      <c r="U54">
        <f t="shared" si="5"/>
        <v>6329</v>
      </c>
    </row>
    <row r="55" spans="1:21">
      <c r="A55" s="5">
        <f t="shared" si="6"/>
        <v>46076</v>
      </c>
      <c r="B55">
        <f>SUMIFS('Demand Projection'!$D$2:$D$169,'Demand Projection'!$B$2:$B$169,B$1,'Demand Projection'!$C$2:$C$169,$A55)</f>
        <v>0</v>
      </c>
      <c r="C55">
        <f>SUMIFS('Demand Projection'!$D$2:$D$169,'Demand Projection'!$B$2:$B$169,C$1,'Demand Projection'!$C$2:$C$169,$A55)</f>
        <v>0</v>
      </c>
      <c r="D55">
        <f>SUMIFS('Demand Projection'!$D$2:$D$169,'Demand Projection'!$B$2:$B$169,D$1,'Demand Projection'!$C$2:$C$169,$A55)</f>
        <v>0</v>
      </c>
      <c r="E55">
        <f>SUMIFS('Demand Projection'!$D$2:$D$169,'Demand Projection'!$B$2:$B$169,E$1,'Demand Projection'!$C$2:$C$169,$A55)</f>
        <v>0</v>
      </c>
      <c r="F55">
        <f>SUMIFS('Demand Projection'!$D$2:$D$169,'Demand Projection'!$B$2:$B$169,F$1,'Demand Projection'!$C$2:$C$169,$A55)</f>
        <v>0</v>
      </c>
      <c r="G55" cm="1">
        <f t="array" ref="G55">Q54+IF(ROW()-3&lt;2,0,INDEX(L:L,ROW()-3))</f>
        <v>4776</v>
      </c>
      <c r="H55" cm="1">
        <f t="array" ref="H55">R54+IF(ROW()-3&lt;2,0,INDEX(M:M,ROW()-3))</f>
        <v>28880</v>
      </c>
      <c r="I55" cm="1">
        <f t="array" ref="I55">S54+IF(ROW()-3&lt;2,0,INDEX(N:N,ROW()-3))</f>
        <v>881</v>
      </c>
      <c r="J55" cm="1">
        <f t="array" ref="J55">T54+IF(ROW()-3&lt;2,0,INDEX(O:O,ROW()-3))</f>
        <v>10224</v>
      </c>
      <c r="K55" cm="1">
        <f t="array" ref="K55">U54+IF(ROW()-3&lt;2,0,INDEX(P:P,ROW()-3))</f>
        <v>6329</v>
      </c>
      <c r="L55">
        <f>IF(Q55&lt;_xlfn.XLOOKUP(L$1,Capacity!$D$3:$D$7,Capacity!$E$3:$E$7),_xlfn.XLOOKUP(L$1,Capacity!$D$3:$D$7,Capacity!$F$3:$F$7)-Q55,0)</f>
        <v>0</v>
      </c>
      <c r="M55">
        <f>IF(R55&lt;_xlfn.XLOOKUP(M$1,Capacity!$D$3:$D$7,Capacity!$E$3:$E$7),_xlfn.XLOOKUP(M$1,Capacity!$D$3:$D$7,Capacity!$F$3:$F$7)-R55,0)</f>
        <v>0</v>
      </c>
      <c r="N55">
        <f>IF(S55&lt;_xlfn.XLOOKUP(N$1,Capacity!$D$3:$D$7,Capacity!$E$3:$E$7),_xlfn.XLOOKUP(N$1,Capacity!$D$3:$D$7,Capacity!$F$3:$F$7)-S55,0)</f>
        <v>0</v>
      </c>
      <c r="O55">
        <f>IF(T55&lt;_xlfn.XLOOKUP(O$1,Capacity!$D$3:$D$7,Capacity!$E$3:$E$7),_xlfn.XLOOKUP(O$1,Capacity!$D$3:$D$7,Capacity!$F$3:$F$7)-T55,0)</f>
        <v>0</v>
      </c>
      <c r="P55">
        <f>IF(U55&lt;_xlfn.XLOOKUP(P$1,Capacity!$D$3:$D$7,Capacity!$E$3:$E$7),_xlfn.XLOOKUP(P$1,Capacity!$D$3:$D$7,Capacity!$F$3:$F$7)-U55,0)</f>
        <v>0</v>
      </c>
      <c r="Q55">
        <f t="shared" si="1"/>
        <v>4776</v>
      </c>
      <c r="R55">
        <f t="shared" si="2"/>
        <v>28880</v>
      </c>
      <c r="S55">
        <f t="shared" si="3"/>
        <v>881</v>
      </c>
      <c r="T55">
        <f t="shared" si="4"/>
        <v>10224</v>
      </c>
      <c r="U55">
        <f t="shared" si="5"/>
        <v>6329</v>
      </c>
    </row>
    <row r="56" spans="1:21">
      <c r="A56" s="5">
        <f t="shared" si="6"/>
        <v>46077</v>
      </c>
      <c r="B56">
        <f>SUMIFS('Demand Projection'!$D$2:$D$169,'Demand Projection'!$B$2:$B$169,B$1,'Demand Projection'!$C$2:$C$169,$A56)</f>
        <v>1075</v>
      </c>
      <c r="C56">
        <f>SUMIFS('Demand Projection'!$D$2:$D$169,'Demand Projection'!$B$2:$B$169,C$1,'Demand Projection'!$C$2:$C$169,$A56)</f>
        <v>0</v>
      </c>
      <c r="D56">
        <f>SUMIFS('Demand Projection'!$D$2:$D$169,'Demand Projection'!$B$2:$B$169,D$1,'Demand Projection'!$C$2:$C$169,$A56)</f>
        <v>0</v>
      </c>
      <c r="E56">
        <f>SUMIFS('Demand Projection'!$D$2:$D$169,'Demand Projection'!$B$2:$B$169,E$1,'Demand Projection'!$C$2:$C$169,$A56)</f>
        <v>0</v>
      </c>
      <c r="F56">
        <f>SUMIFS('Demand Projection'!$D$2:$D$169,'Demand Projection'!$B$2:$B$169,F$1,'Demand Projection'!$C$2:$C$169,$A56)</f>
        <v>0</v>
      </c>
      <c r="G56" cm="1">
        <f t="array" ref="G56">Q55+IF(ROW()-3&lt;2,0,INDEX(L:L,ROW()-3))</f>
        <v>4776</v>
      </c>
      <c r="H56" cm="1">
        <f t="array" ref="H56">R55+IF(ROW()-3&lt;2,0,INDEX(M:M,ROW()-3))</f>
        <v>28880</v>
      </c>
      <c r="I56" cm="1">
        <f t="array" ref="I56">S55+IF(ROW()-3&lt;2,0,INDEX(N:N,ROW()-3))</f>
        <v>881</v>
      </c>
      <c r="J56" cm="1">
        <f t="array" ref="J56">T55+IF(ROW()-3&lt;2,0,INDEX(O:O,ROW()-3))</f>
        <v>10224</v>
      </c>
      <c r="K56" cm="1">
        <f t="array" ref="K56">U55+IF(ROW()-3&lt;2,0,INDEX(P:P,ROW()-3))</f>
        <v>6329</v>
      </c>
      <c r="L56">
        <f>IF(Q56&lt;_xlfn.XLOOKUP(L$1,Capacity!$D$3:$D$7,Capacity!$E$3:$E$7),_xlfn.XLOOKUP(L$1,Capacity!$D$3:$D$7,Capacity!$F$3:$F$7)-Q56,0)</f>
        <v>0</v>
      </c>
      <c r="M56">
        <f>IF(R56&lt;_xlfn.XLOOKUP(M$1,Capacity!$D$3:$D$7,Capacity!$E$3:$E$7),_xlfn.XLOOKUP(M$1,Capacity!$D$3:$D$7,Capacity!$F$3:$F$7)-R56,0)</f>
        <v>0</v>
      </c>
      <c r="N56">
        <f>IF(S56&lt;_xlfn.XLOOKUP(N$1,Capacity!$D$3:$D$7,Capacity!$E$3:$E$7),_xlfn.XLOOKUP(N$1,Capacity!$D$3:$D$7,Capacity!$F$3:$F$7)-S56,0)</f>
        <v>0</v>
      </c>
      <c r="O56">
        <f>IF(T56&lt;_xlfn.XLOOKUP(O$1,Capacity!$D$3:$D$7,Capacity!$E$3:$E$7),_xlfn.XLOOKUP(O$1,Capacity!$D$3:$D$7,Capacity!$F$3:$F$7)-T56,0)</f>
        <v>0</v>
      </c>
      <c r="P56">
        <f>IF(U56&lt;_xlfn.XLOOKUP(P$1,Capacity!$D$3:$D$7,Capacity!$E$3:$E$7),_xlfn.XLOOKUP(P$1,Capacity!$D$3:$D$7,Capacity!$F$3:$F$7)-U56,0)</f>
        <v>0</v>
      </c>
      <c r="Q56">
        <f t="shared" si="1"/>
        <v>3701</v>
      </c>
      <c r="R56">
        <f t="shared" si="2"/>
        <v>28880</v>
      </c>
      <c r="S56">
        <f t="shared" si="3"/>
        <v>881</v>
      </c>
      <c r="T56">
        <f t="shared" si="4"/>
        <v>10224</v>
      </c>
      <c r="U56">
        <f t="shared" si="5"/>
        <v>6329</v>
      </c>
    </row>
    <row r="57" spans="1:21">
      <c r="A57" s="5">
        <f t="shared" si="6"/>
        <v>46078</v>
      </c>
      <c r="B57">
        <f>SUMIFS('Demand Projection'!$D$2:$D$169,'Demand Projection'!$B$2:$B$169,B$1,'Demand Projection'!$C$2:$C$169,$A57)</f>
        <v>0</v>
      </c>
      <c r="C57">
        <f>SUMIFS('Demand Projection'!$D$2:$D$169,'Demand Projection'!$B$2:$B$169,C$1,'Demand Projection'!$C$2:$C$169,$A57)</f>
        <v>0</v>
      </c>
      <c r="D57">
        <f>SUMIFS('Demand Projection'!$D$2:$D$169,'Demand Projection'!$B$2:$B$169,D$1,'Demand Projection'!$C$2:$C$169,$A57)</f>
        <v>0</v>
      </c>
      <c r="E57">
        <f>SUMIFS('Demand Projection'!$D$2:$D$169,'Demand Projection'!$B$2:$B$169,E$1,'Demand Projection'!$C$2:$C$169,$A57)</f>
        <v>0</v>
      </c>
      <c r="F57">
        <f>SUMIFS('Demand Projection'!$D$2:$D$169,'Demand Projection'!$B$2:$B$169,F$1,'Demand Projection'!$C$2:$C$169,$A57)</f>
        <v>0</v>
      </c>
      <c r="G57" cm="1">
        <f t="array" ref="G57">Q56+IF(ROW()-3&lt;2,0,INDEX(L:L,ROW()-3))</f>
        <v>3701</v>
      </c>
      <c r="H57" cm="1">
        <f t="array" ref="H57">R56+IF(ROW()-3&lt;2,0,INDEX(M:M,ROW()-3))</f>
        <v>28880</v>
      </c>
      <c r="I57" cm="1">
        <f t="array" ref="I57">S56+IF(ROW()-3&lt;2,0,INDEX(N:N,ROW()-3))</f>
        <v>881</v>
      </c>
      <c r="J57" cm="1">
        <f t="array" ref="J57">T56+IF(ROW()-3&lt;2,0,INDEX(O:O,ROW()-3))</f>
        <v>10224</v>
      </c>
      <c r="K57" cm="1">
        <f t="array" ref="K57">U56+IF(ROW()-3&lt;2,0,INDEX(P:P,ROW()-3))</f>
        <v>6329</v>
      </c>
      <c r="L57">
        <f>IF(Q57&lt;_xlfn.XLOOKUP(L$1,Capacity!$D$3:$D$7,Capacity!$E$3:$E$7),_xlfn.XLOOKUP(L$1,Capacity!$D$3:$D$7,Capacity!$F$3:$F$7)-Q57,0)</f>
        <v>0</v>
      </c>
      <c r="M57">
        <f>IF(R57&lt;_xlfn.XLOOKUP(M$1,Capacity!$D$3:$D$7,Capacity!$E$3:$E$7),_xlfn.XLOOKUP(M$1,Capacity!$D$3:$D$7,Capacity!$F$3:$F$7)-R57,0)</f>
        <v>0</v>
      </c>
      <c r="N57">
        <f>IF(S57&lt;_xlfn.XLOOKUP(N$1,Capacity!$D$3:$D$7,Capacity!$E$3:$E$7),_xlfn.XLOOKUP(N$1,Capacity!$D$3:$D$7,Capacity!$F$3:$F$7)-S57,0)</f>
        <v>0</v>
      </c>
      <c r="O57">
        <f>IF(T57&lt;_xlfn.XLOOKUP(O$1,Capacity!$D$3:$D$7,Capacity!$E$3:$E$7),_xlfn.XLOOKUP(O$1,Capacity!$D$3:$D$7,Capacity!$F$3:$F$7)-T57,0)</f>
        <v>0</v>
      </c>
      <c r="P57">
        <f>IF(U57&lt;_xlfn.XLOOKUP(P$1,Capacity!$D$3:$D$7,Capacity!$E$3:$E$7),_xlfn.XLOOKUP(P$1,Capacity!$D$3:$D$7,Capacity!$F$3:$F$7)-U57,0)</f>
        <v>0</v>
      </c>
      <c r="Q57">
        <f t="shared" si="1"/>
        <v>3701</v>
      </c>
      <c r="R57">
        <f t="shared" si="2"/>
        <v>28880</v>
      </c>
      <c r="S57">
        <f t="shared" si="3"/>
        <v>881</v>
      </c>
      <c r="T57">
        <f t="shared" si="4"/>
        <v>10224</v>
      </c>
      <c r="U57">
        <f t="shared" si="5"/>
        <v>6329</v>
      </c>
    </row>
    <row r="58" spans="1:21">
      <c r="A58" s="5">
        <f t="shared" si="6"/>
        <v>46079</v>
      </c>
      <c r="B58">
        <f>SUMIFS('Demand Projection'!$D$2:$D$169,'Demand Projection'!$B$2:$B$169,B$1,'Demand Projection'!$C$2:$C$169,$A58)</f>
        <v>0</v>
      </c>
      <c r="C58">
        <f>SUMIFS('Demand Projection'!$D$2:$D$169,'Demand Projection'!$B$2:$B$169,C$1,'Demand Projection'!$C$2:$C$169,$A58)</f>
        <v>0</v>
      </c>
      <c r="D58">
        <f>SUMIFS('Demand Projection'!$D$2:$D$169,'Demand Projection'!$B$2:$B$169,D$1,'Demand Projection'!$C$2:$C$169,$A58)</f>
        <v>0</v>
      </c>
      <c r="E58">
        <f>SUMIFS('Demand Projection'!$D$2:$D$169,'Demand Projection'!$B$2:$B$169,E$1,'Demand Projection'!$C$2:$C$169,$A58)</f>
        <v>0</v>
      </c>
      <c r="F58">
        <f>SUMIFS('Demand Projection'!$D$2:$D$169,'Demand Projection'!$B$2:$B$169,F$1,'Demand Projection'!$C$2:$C$169,$A58)</f>
        <v>0</v>
      </c>
      <c r="G58" cm="1">
        <f t="array" ref="G58">Q57+IF(ROW()-3&lt;2,0,INDEX(L:L,ROW()-3))</f>
        <v>3701</v>
      </c>
      <c r="H58" cm="1">
        <f t="array" ref="H58">R57+IF(ROW()-3&lt;2,0,INDEX(M:M,ROW()-3))</f>
        <v>28880</v>
      </c>
      <c r="I58" cm="1">
        <f t="array" ref="I58">S57+IF(ROW()-3&lt;2,0,INDEX(N:N,ROW()-3))</f>
        <v>881</v>
      </c>
      <c r="J58" cm="1">
        <f t="array" ref="J58">T57+IF(ROW()-3&lt;2,0,INDEX(O:O,ROW()-3))</f>
        <v>10224</v>
      </c>
      <c r="K58" cm="1">
        <f t="array" ref="K58">U57+IF(ROW()-3&lt;2,0,INDEX(P:P,ROW()-3))</f>
        <v>6329</v>
      </c>
      <c r="L58">
        <f>IF(Q58&lt;_xlfn.XLOOKUP(L$1,Capacity!$D$3:$D$7,Capacity!$E$3:$E$7),_xlfn.XLOOKUP(L$1,Capacity!$D$3:$D$7,Capacity!$F$3:$F$7)-Q58,0)</f>
        <v>0</v>
      </c>
      <c r="M58">
        <f>IF(R58&lt;_xlfn.XLOOKUP(M$1,Capacity!$D$3:$D$7,Capacity!$E$3:$E$7),_xlfn.XLOOKUP(M$1,Capacity!$D$3:$D$7,Capacity!$F$3:$F$7)-R58,0)</f>
        <v>0</v>
      </c>
      <c r="N58">
        <f>IF(S58&lt;_xlfn.XLOOKUP(N$1,Capacity!$D$3:$D$7,Capacity!$E$3:$E$7),_xlfn.XLOOKUP(N$1,Capacity!$D$3:$D$7,Capacity!$F$3:$F$7)-S58,0)</f>
        <v>0</v>
      </c>
      <c r="O58">
        <f>IF(T58&lt;_xlfn.XLOOKUP(O$1,Capacity!$D$3:$D$7,Capacity!$E$3:$E$7),_xlfn.XLOOKUP(O$1,Capacity!$D$3:$D$7,Capacity!$F$3:$F$7)-T58,0)</f>
        <v>0</v>
      </c>
      <c r="P58">
        <f>IF(U58&lt;_xlfn.XLOOKUP(P$1,Capacity!$D$3:$D$7,Capacity!$E$3:$E$7),_xlfn.XLOOKUP(P$1,Capacity!$D$3:$D$7,Capacity!$F$3:$F$7)-U58,0)</f>
        <v>0</v>
      </c>
      <c r="Q58">
        <f t="shared" si="1"/>
        <v>3701</v>
      </c>
      <c r="R58">
        <f t="shared" si="2"/>
        <v>28880</v>
      </c>
      <c r="S58">
        <f t="shared" si="3"/>
        <v>881</v>
      </c>
      <c r="T58">
        <f t="shared" si="4"/>
        <v>10224</v>
      </c>
      <c r="U58">
        <f t="shared" si="5"/>
        <v>6329</v>
      </c>
    </row>
    <row r="59" spans="1:21">
      <c r="A59" s="5">
        <f t="shared" si="6"/>
        <v>46080</v>
      </c>
      <c r="B59">
        <f>SUMIFS('Demand Projection'!$D$2:$D$169,'Demand Projection'!$B$2:$B$169,B$1,'Demand Projection'!$C$2:$C$169,$A59)</f>
        <v>0</v>
      </c>
      <c r="C59">
        <f>SUMIFS('Demand Projection'!$D$2:$D$169,'Demand Projection'!$B$2:$B$169,C$1,'Demand Projection'!$C$2:$C$169,$A59)</f>
        <v>0</v>
      </c>
      <c r="D59">
        <f>SUMIFS('Demand Projection'!$D$2:$D$169,'Demand Projection'!$B$2:$B$169,D$1,'Demand Projection'!$C$2:$C$169,$A59)</f>
        <v>0</v>
      </c>
      <c r="E59">
        <f>SUMIFS('Demand Projection'!$D$2:$D$169,'Demand Projection'!$B$2:$B$169,E$1,'Demand Projection'!$C$2:$C$169,$A59)</f>
        <v>0</v>
      </c>
      <c r="F59">
        <f>SUMIFS('Demand Projection'!$D$2:$D$169,'Demand Projection'!$B$2:$B$169,F$1,'Demand Projection'!$C$2:$C$169,$A59)</f>
        <v>0</v>
      </c>
      <c r="G59" cm="1">
        <f t="array" ref="G59">Q58+IF(ROW()-3&lt;2,0,INDEX(L:L,ROW()-3))</f>
        <v>3701</v>
      </c>
      <c r="H59" cm="1">
        <f t="array" ref="H59">R58+IF(ROW()-3&lt;2,0,INDEX(M:M,ROW()-3))</f>
        <v>28880</v>
      </c>
      <c r="I59" cm="1">
        <f t="array" ref="I59">S58+IF(ROW()-3&lt;2,0,INDEX(N:N,ROW()-3))</f>
        <v>881</v>
      </c>
      <c r="J59" cm="1">
        <f t="array" ref="J59">T58+IF(ROW()-3&lt;2,0,INDEX(O:O,ROW()-3))</f>
        <v>10224</v>
      </c>
      <c r="K59" cm="1">
        <f t="array" ref="K59">U58+IF(ROW()-3&lt;2,0,INDEX(P:P,ROW()-3))</f>
        <v>6329</v>
      </c>
      <c r="L59">
        <f>IF(Q59&lt;_xlfn.XLOOKUP(L$1,Capacity!$D$3:$D$7,Capacity!$E$3:$E$7),_xlfn.XLOOKUP(L$1,Capacity!$D$3:$D$7,Capacity!$F$3:$F$7)-Q59,0)</f>
        <v>0</v>
      </c>
      <c r="M59">
        <f>IF(R59&lt;_xlfn.XLOOKUP(M$1,Capacity!$D$3:$D$7,Capacity!$E$3:$E$7),_xlfn.XLOOKUP(M$1,Capacity!$D$3:$D$7,Capacity!$F$3:$F$7)-R59,0)</f>
        <v>0</v>
      </c>
      <c r="N59">
        <f>IF(S59&lt;_xlfn.XLOOKUP(N$1,Capacity!$D$3:$D$7,Capacity!$E$3:$E$7),_xlfn.XLOOKUP(N$1,Capacity!$D$3:$D$7,Capacity!$F$3:$F$7)-S59,0)</f>
        <v>0</v>
      </c>
      <c r="O59">
        <f>IF(T59&lt;_xlfn.XLOOKUP(O$1,Capacity!$D$3:$D$7,Capacity!$E$3:$E$7),_xlfn.XLOOKUP(O$1,Capacity!$D$3:$D$7,Capacity!$F$3:$F$7)-T59,0)</f>
        <v>0</v>
      </c>
      <c r="P59">
        <f>IF(U59&lt;_xlfn.XLOOKUP(P$1,Capacity!$D$3:$D$7,Capacity!$E$3:$E$7),_xlfn.XLOOKUP(P$1,Capacity!$D$3:$D$7,Capacity!$F$3:$F$7)-U59,0)</f>
        <v>0</v>
      </c>
      <c r="Q59">
        <f t="shared" si="1"/>
        <v>3701</v>
      </c>
      <c r="R59">
        <f t="shared" si="2"/>
        <v>28880</v>
      </c>
      <c r="S59">
        <f t="shared" si="3"/>
        <v>881</v>
      </c>
      <c r="T59">
        <f t="shared" si="4"/>
        <v>10224</v>
      </c>
      <c r="U59">
        <f t="shared" si="5"/>
        <v>6329</v>
      </c>
    </row>
    <row r="60" spans="1:21">
      <c r="A60" s="5">
        <f t="shared" si="6"/>
        <v>46081</v>
      </c>
      <c r="B60">
        <f>SUMIFS('Demand Projection'!$D$2:$D$169,'Demand Projection'!$B$2:$B$169,B$1,'Demand Projection'!$C$2:$C$169,$A60)</f>
        <v>0</v>
      </c>
      <c r="C60">
        <f>SUMIFS('Demand Projection'!$D$2:$D$169,'Demand Projection'!$B$2:$B$169,C$1,'Demand Projection'!$C$2:$C$169,$A60)</f>
        <v>0</v>
      </c>
      <c r="D60">
        <f>SUMIFS('Demand Projection'!$D$2:$D$169,'Demand Projection'!$B$2:$B$169,D$1,'Demand Projection'!$C$2:$C$169,$A60)</f>
        <v>0</v>
      </c>
      <c r="E60">
        <f>SUMIFS('Demand Projection'!$D$2:$D$169,'Demand Projection'!$B$2:$B$169,E$1,'Demand Projection'!$C$2:$C$169,$A60)</f>
        <v>3225</v>
      </c>
      <c r="F60">
        <f>SUMIFS('Demand Projection'!$D$2:$D$169,'Demand Projection'!$B$2:$B$169,F$1,'Demand Projection'!$C$2:$C$169,$A60)</f>
        <v>2150</v>
      </c>
      <c r="G60" cm="1">
        <f t="array" ref="G60">Q59+IF(ROW()-3&lt;2,0,INDEX(L:L,ROW()-3))</f>
        <v>3701</v>
      </c>
      <c r="H60" cm="1">
        <f t="array" ref="H60">R59+IF(ROW()-3&lt;2,0,INDEX(M:M,ROW()-3))</f>
        <v>28880</v>
      </c>
      <c r="I60" cm="1">
        <f t="array" ref="I60">S59+IF(ROW()-3&lt;2,0,INDEX(N:N,ROW()-3))</f>
        <v>881</v>
      </c>
      <c r="J60" cm="1">
        <f t="array" ref="J60">T59+IF(ROW()-3&lt;2,0,INDEX(O:O,ROW()-3))</f>
        <v>10224</v>
      </c>
      <c r="K60" cm="1">
        <f t="array" ref="K60">U59+IF(ROW()-3&lt;2,0,INDEX(P:P,ROW()-3))</f>
        <v>6329</v>
      </c>
      <c r="L60">
        <f>IF(Q60&lt;_xlfn.XLOOKUP(L$1,Capacity!$D$3:$D$7,Capacity!$E$3:$E$7),_xlfn.XLOOKUP(L$1,Capacity!$D$3:$D$7,Capacity!$F$3:$F$7)-Q60,0)</f>
        <v>0</v>
      </c>
      <c r="M60">
        <f>IF(R60&lt;_xlfn.XLOOKUP(M$1,Capacity!$D$3:$D$7,Capacity!$E$3:$E$7),_xlfn.XLOOKUP(M$1,Capacity!$D$3:$D$7,Capacity!$F$3:$F$7)-R60,0)</f>
        <v>0</v>
      </c>
      <c r="N60">
        <f>IF(S60&lt;_xlfn.XLOOKUP(N$1,Capacity!$D$3:$D$7,Capacity!$E$3:$E$7),_xlfn.XLOOKUP(N$1,Capacity!$D$3:$D$7,Capacity!$F$3:$F$7)-S60,0)</f>
        <v>0</v>
      </c>
      <c r="O60">
        <f>IF(T60&lt;_xlfn.XLOOKUP(O$1,Capacity!$D$3:$D$7,Capacity!$E$3:$E$7),_xlfn.XLOOKUP(O$1,Capacity!$D$3:$D$7,Capacity!$F$3:$F$7)-T60,0)</f>
        <v>0</v>
      </c>
      <c r="P60">
        <f>IF(U60&lt;_xlfn.XLOOKUP(P$1,Capacity!$D$3:$D$7,Capacity!$E$3:$E$7),_xlfn.XLOOKUP(P$1,Capacity!$D$3:$D$7,Capacity!$F$3:$F$7)-U60,0)</f>
        <v>0</v>
      </c>
      <c r="Q60">
        <f t="shared" si="1"/>
        <v>3701</v>
      </c>
      <c r="R60">
        <f t="shared" si="2"/>
        <v>28880</v>
      </c>
      <c r="S60">
        <f t="shared" si="3"/>
        <v>881</v>
      </c>
      <c r="T60">
        <f t="shared" si="4"/>
        <v>6999</v>
      </c>
      <c r="U60">
        <f t="shared" si="5"/>
        <v>4179</v>
      </c>
    </row>
    <row r="61" spans="1:21">
      <c r="A61" s="5">
        <f t="shared" si="6"/>
        <v>46082</v>
      </c>
      <c r="B61">
        <f>SUMIFS('Demand Projection'!$D$2:$D$169,'Demand Projection'!$B$2:$B$169,B$1,'Demand Projection'!$C$2:$C$169,$A61)</f>
        <v>0</v>
      </c>
      <c r="C61">
        <f>SUMIFS('Demand Projection'!$D$2:$D$169,'Demand Projection'!$B$2:$B$169,C$1,'Demand Projection'!$C$2:$C$169,$A61)</f>
        <v>0</v>
      </c>
      <c r="D61">
        <f>SUMIFS('Demand Projection'!$D$2:$D$169,'Demand Projection'!$B$2:$B$169,D$1,'Demand Projection'!$C$2:$C$169,$A61)</f>
        <v>0</v>
      </c>
      <c r="E61">
        <f>SUMIFS('Demand Projection'!$D$2:$D$169,'Demand Projection'!$B$2:$B$169,E$1,'Demand Projection'!$C$2:$C$169,$A61)</f>
        <v>0</v>
      </c>
      <c r="F61">
        <f>SUMIFS('Demand Projection'!$D$2:$D$169,'Demand Projection'!$B$2:$B$169,F$1,'Demand Projection'!$C$2:$C$169,$A61)</f>
        <v>0</v>
      </c>
      <c r="G61" cm="1">
        <f t="array" ref="G61">Q60+IF(ROW()-3&lt;2,0,INDEX(L:L,ROW()-3))</f>
        <v>3701</v>
      </c>
      <c r="H61" cm="1">
        <f t="array" ref="H61">R60+IF(ROW()-3&lt;2,0,INDEX(M:M,ROW()-3))</f>
        <v>28880</v>
      </c>
      <c r="I61" cm="1">
        <f t="array" ref="I61">S60+IF(ROW()-3&lt;2,0,INDEX(N:N,ROW()-3))</f>
        <v>881</v>
      </c>
      <c r="J61" cm="1">
        <f t="array" ref="J61">T60+IF(ROW()-3&lt;2,0,INDEX(O:O,ROW()-3))</f>
        <v>6999</v>
      </c>
      <c r="K61" cm="1">
        <f t="array" ref="K61">U60+IF(ROW()-3&lt;2,0,INDEX(P:P,ROW()-3))</f>
        <v>4179</v>
      </c>
      <c r="L61">
        <f>IF(Q61&lt;_xlfn.XLOOKUP(L$1,Capacity!$D$3:$D$7,Capacity!$E$3:$E$7),_xlfn.XLOOKUP(L$1,Capacity!$D$3:$D$7,Capacity!$F$3:$F$7)-Q61,0)</f>
        <v>0</v>
      </c>
      <c r="M61">
        <f>IF(R61&lt;_xlfn.XLOOKUP(M$1,Capacity!$D$3:$D$7,Capacity!$E$3:$E$7),_xlfn.XLOOKUP(M$1,Capacity!$D$3:$D$7,Capacity!$F$3:$F$7)-R61,0)</f>
        <v>0</v>
      </c>
      <c r="N61">
        <f>IF(S61&lt;_xlfn.XLOOKUP(N$1,Capacity!$D$3:$D$7,Capacity!$E$3:$E$7),_xlfn.XLOOKUP(N$1,Capacity!$D$3:$D$7,Capacity!$F$3:$F$7)-S61,0)</f>
        <v>0</v>
      </c>
      <c r="O61">
        <f>IF(T61&lt;_xlfn.XLOOKUP(O$1,Capacity!$D$3:$D$7,Capacity!$E$3:$E$7),_xlfn.XLOOKUP(O$1,Capacity!$D$3:$D$7,Capacity!$F$3:$F$7)-T61,0)</f>
        <v>0</v>
      </c>
      <c r="P61">
        <f>IF(U61&lt;_xlfn.XLOOKUP(P$1,Capacity!$D$3:$D$7,Capacity!$E$3:$E$7),_xlfn.XLOOKUP(P$1,Capacity!$D$3:$D$7,Capacity!$F$3:$F$7)-U61,0)</f>
        <v>0</v>
      </c>
      <c r="Q61">
        <f t="shared" si="1"/>
        <v>3701</v>
      </c>
      <c r="R61">
        <f t="shared" si="2"/>
        <v>28880</v>
      </c>
      <c r="S61">
        <f t="shared" si="3"/>
        <v>881</v>
      </c>
      <c r="T61">
        <f t="shared" si="4"/>
        <v>6999</v>
      </c>
      <c r="U61">
        <f t="shared" si="5"/>
        <v>4179</v>
      </c>
    </row>
    <row r="62" spans="1:21">
      <c r="A62" s="5">
        <f t="shared" si="6"/>
        <v>46083</v>
      </c>
      <c r="B62">
        <f>SUMIFS('Demand Projection'!$D$2:$D$169,'Demand Projection'!$B$2:$B$169,B$1,'Demand Projection'!$C$2:$C$169,$A62)</f>
        <v>0</v>
      </c>
      <c r="C62">
        <f>SUMIFS('Demand Projection'!$D$2:$D$169,'Demand Projection'!$B$2:$B$169,C$1,'Demand Projection'!$C$2:$C$169,$A62)</f>
        <v>0</v>
      </c>
      <c r="D62">
        <f>SUMIFS('Demand Projection'!$D$2:$D$169,'Demand Projection'!$B$2:$B$169,D$1,'Demand Projection'!$C$2:$C$169,$A62)</f>
        <v>0</v>
      </c>
      <c r="E62">
        <f>SUMIFS('Demand Projection'!$D$2:$D$169,'Demand Projection'!$B$2:$B$169,E$1,'Demand Projection'!$C$2:$C$169,$A62)</f>
        <v>0</v>
      </c>
      <c r="F62">
        <f>SUMIFS('Demand Projection'!$D$2:$D$169,'Demand Projection'!$B$2:$B$169,F$1,'Demand Projection'!$C$2:$C$169,$A62)</f>
        <v>0</v>
      </c>
      <c r="G62" cm="1">
        <f t="array" ref="G62">Q61+IF(ROW()-3&lt;2,0,INDEX(L:L,ROW()-3))</f>
        <v>3701</v>
      </c>
      <c r="H62" cm="1">
        <f t="array" ref="H62">R61+IF(ROW()-3&lt;2,0,INDEX(M:M,ROW()-3))</f>
        <v>28880</v>
      </c>
      <c r="I62" cm="1">
        <f t="array" ref="I62">S61+IF(ROW()-3&lt;2,0,INDEX(N:N,ROW()-3))</f>
        <v>881</v>
      </c>
      <c r="J62" cm="1">
        <f t="array" ref="J62">T61+IF(ROW()-3&lt;2,0,INDEX(O:O,ROW()-3))</f>
        <v>6999</v>
      </c>
      <c r="K62" cm="1">
        <f t="array" ref="K62">U61+IF(ROW()-3&lt;2,0,INDEX(P:P,ROW()-3))</f>
        <v>4179</v>
      </c>
      <c r="L62">
        <f>IF(Q62&lt;_xlfn.XLOOKUP(L$1,Capacity!$D$3:$D$7,Capacity!$E$3:$E$7),_xlfn.XLOOKUP(L$1,Capacity!$D$3:$D$7,Capacity!$F$3:$F$7)-Q62,0)</f>
        <v>0</v>
      </c>
      <c r="M62">
        <f>IF(R62&lt;_xlfn.XLOOKUP(M$1,Capacity!$D$3:$D$7,Capacity!$E$3:$E$7),_xlfn.XLOOKUP(M$1,Capacity!$D$3:$D$7,Capacity!$F$3:$F$7)-R62,0)</f>
        <v>0</v>
      </c>
      <c r="N62">
        <f>IF(S62&lt;_xlfn.XLOOKUP(N$1,Capacity!$D$3:$D$7,Capacity!$E$3:$E$7),_xlfn.XLOOKUP(N$1,Capacity!$D$3:$D$7,Capacity!$F$3:$F$7)-S62,0)</f>
        <v>0</v>
      </c>
      <c r="O62">
        <f>IF(T62&lt;_xlfn.XLOOKUP(O$1,Capacity!$D$3:$D$7,Capacity!$E$3:$E$7),_xlfn.XLOOKUP(O$1,Capacity!$D$3:$D$7,Capacity!$F$3:$F$7)-T62,0)</f>
        <v>0</v>
      </c>
      <c r="P62">
        <f>IF(U62&lt;_xlfn.XLOOKUP(P$1,Capacity!$D$3:$D$7,Capacity!$E$3:$E$7),_xlfn.XLOOKUP(P$1,Capacity!$D$3:$D$7,Capacity!$F$3:$F$7)-U62,0)</f>
        <v>0</v>
      </c>
      <c r="Q62">
        <f t="shared" si="1"/>
        <v>3701</v>
      </c>
      <c r="R62">
        <f t="shared" si="2"/>
        <v>28880</v>
      </c>
      <c r="S62">
        <f t="shared" si="3"/>
        <v>881</v>
      </c>
      <c r="T62">
        <f t="shared" si="4"/>
        <v>6999</v>
      </c>
      <c r="U62">
        <f t="shared" si="5"/>
        <v>4179</v>
      </c>
    </row>
    <row r="63" spans="1:21">
      <c r="A63" s="5">
        <f t="shared" si="6"/>
        <v>46084</v>
      </c>
      <c r="B63">
        <f>SUMIFS('Demand Projection'!$D$2:$D$169,'Demand Projection'!$B$2:$B$169,B$1,'Demand Projection'!$C$2:$C$169,$A63)</f>
        <v>1029</v>
      </c>
      <c r="C63">
        <f>SUMIFS('Demand Projection'!$D$2:$D$169,'Demand Projection'!$B$2:$B$169,C$1,'Demand Projection'!$C$2:$C$169,$A63)</f>
        <v>6174</v>
      </c>
      <c r="D63">
        <f>SUMIFS('Demand Projection'!$D$2:$D$169,'Demand Projection'!$B$2:$B$169,D$1,'Demand Projection'!$C$2:$C$169,$A63)</f>
        <v>0</v>
      </c>
      <c r="E63">
        <f>SUMIFS('Demand Projection'!$D$2:$D$169,'Demand Projection'!$B$2:$B$169,E$1,'Demand Projection'!$C$2:$C$169,$A63)</f>
        <v>0</v>
      </c>
      <c r="F63">
        <f>SUMIFS('Demand Projection'!$D$2:$D$169,'Demand Projection'!$B$2:$B$169,F$1,'Demand Projection'!$C$2:$C$169,$A63)</f>
        <v>0</v>
      </c>
      <c r="G63" cm="1">
        <f t="array" ref="G63">Q62+IF(ROW()-3&lt;2,0,INDEX(L:L,ROW()-3))</f>
        <v>3701</v>
      </c>
      <c r="H63" cm="1">
        <f t="array" ref="H63">R62+IF(ROW()-3&lt;2,0,INDEX(M:M,ROW()-3))</f>
        <v>28880</v>
      </c>
      <c r="I63" cm="1">
        <f t="array" ref="I63">S62+IF(ROW()-3&lt;2,0,INDEX(N:N,ROW()-3))</f>
        <v>881</v>
      </c>
      <c r="J63" cm="1">
        <f t="array" ref="J63">T62+IF(ROW()-3&lt;2,0,INDEX(O:O,ROW()-3))</f>
        <v>6999</v>
      </c>
      <c r="K63" cm="1">
        <f t="array" ref="K63">U62+IF(ROW()-3&lt;2,0,INDEX(P:P,ROW()-3))</f>
        <v>4179</v>
      </c>
      <c r="L63">
        <f>IF(Q63&lt;_xlfn.XLOOKUP(L$1,Capacity!$D$3:$D$7,Capacity!$E$3:$E$7),_xlfn.XLOOKUP(L$1,Capacity!$D$3:$D$7,Capacity!$F$3:$F$7)-Q63,0)</f>
        <v>0</v>
      </c>
      <c r="M63">
        <f>IF(R63&lt;_xlfn.XLOOKUP(M$1,Capacity!$D$3:$D$7,Capacity!$E$3:$E$7),_xlfn.XLOOKUP(M$1,Capacity!$D$3:$D$7,Capacity!$F$3:$F$7)-R63,0)</f>
        <v>0</v>
      </c>
      <c r="N63">
        <f>IF(S63&lt;_xlfn.XLOOKUP(N$1,Capacity!$D$3:$D$7,Capacity!$E$3:$E$7),_xlfn.XLOOKUP(N$1,Capacity!$D$3:$D$7,Capacity!$F$3:$F$7)-S63,0)</f>
        <v>0</v>
      </c>
      <c r="O63">
        <f>IF(T63&lt;_xlfn.XLOOKUP(O$1,Capacity!$D$3:$D$7,Capacity!$E$3:$E$7),_xlfn.XLOOKUP(O$1,Capacity!$D$3:$D$7,Capacity!$F$3:$F$7)-T63,0)</f>
        <v>0</v>
      </c>
      <c r="P63">
        <f>IF(U63&lt;_xlfn.XLOOKUP(P$1,Capacity!$D$3:$D$7,Capacity!$E$3:$E$7),_xlfn.XLOOKUP(P$1,Capacity!$D$3:$D$7,Capacity!$F$3:$F$7)-U63,0)</f>
        <v>0</v>
      </c>
      <c r="Q63">
        <f t="shared" si="1"/>
        <v>2672</v>
      </c>
      <c r="R63">
        <f t="shared" si="2"/>
        <v>22706</v>
      </c>
      <c r="S63">
        <f t="shared" si="3"/>
        <v>881</v>
      </c>
      <c r="T63">
        <f t="shared" si="4"/>
        <v>6999</v>
      </c>
      <c r="U63">
        <f t="shared" si="5"/>
        <v>4179</v>
      </c>
    </row>
    <row r="64" spans="1:21">
      <c r="A64" s="5">
        <f t="shared" si="6"/>
        <v>46085</v>
      </c>
      <c r="B64">
        <f>SUMIFS('Demand Projection'!$D$2:$D$169,'Demand Projection'!$B$2:$B$169,B$1,'Demand Projection'!$C$2:$C$169,$A64)</f>
        <v>412</v>
      </c>
      <c r="C64">
        <f>SUMIFS('Demand Projection'!$D$2:$D$169,'Demand Projection'!$B$2:$B$169,C$1,'Demand Projection'!$C$2:$C$169,$A64)</f>
        <v>0</v>
      </c>
      <c r="D64">
        <f>SUMIFS('Demand Projection'!$D$2:$D$169,'Demand Projection'!$B$2:$B$169,D$1,'Demand Projection'!$C$2:$C$169,$A64)</f>
        <v>0</v>
      </c>
      <c r="E64">
        <f>SUMIFS('Demand Projection'!$D$2:$D$169,'Demand Projection'!$B$2:$B$169,E$1,'Demand Projection'!$C$2:$C$169,$A64)</f>
        <v>0</v>
      </c>
      <c r="F64">
        <f>SUMIFS('Demand Projection'!$D$2:$D$169,'Demand Projection'!$B$2:$B$169,F$1,'Demand Projection'!$C$2:$C$169,$A64)</f>
        <v>0</v>
      </c>
      <c r="G64" cm="1">
        <f t="array" ref="G64">Q63+IF(ROW()-3&lt;2,0,INDEX(L:L,ROW()-3))</f>
        <v>2672</v>
      </c>
      <c r="H64" cm="1">
        <f t="array" ref="H64">R63+IF(ROW()-3&lt;2,0,INDEX(M:M,ROW()-3))</f>
        <v>22706</v>
      </c>
      <c r="I64" cm="1">
        <f t="array" ref="I64">S63+IF(ROW()-3&lt;2,0,INDEX(N:N,ROW()-3))</f>
        <v>881</v>
      </c>
      <c r="J64" cm="1">
        <f t="array" ref="J64">T63+IF(ROW()-3&lt;2,0,INDEX(O:O,ROW()-3))</f>
        <v>6999</v>
      </c>
      <c r="K64" cm="1">
        <f t="array" ref="K64">U63+IF(ROW()-3&lt;2,0,INDEX(P:P,ROW()-3))</f>
        <v>4179</v>
      </c>
      <c r="L64">
        <f>IF(Q64&lt;_xlfn.XLOOKUP(L$1,Capacity!$D$3:$D$7,Capacity!$E$3:$E$7),_xlfn.XLOOKUP(L$1,Capacity!$D$3:$D$7,Capacity!$F$3:$F$7)-Q64,0)</f>
        <v>0</v>
      </c>
      <c r="M64">
        <f>IF(R64&lt;_xlfn.XLOOKUP(M$1,Capacity!$D$3:$D$7,Capacity!$E$3:$E$7),_xlfn.XLOOKUP(M$1,Capacity!$D$3:$D$7,Capacity!$F$3:$F$7)-R64,0)</f>
        <v>0</v>
      </c>
      <c r="N64">
        <f>IF(S64&lt;_xlfn.XLOOKUP(N$1,Capacity!$D$3:$D$7,Capacity!$E$3:$E$7),_xlfn.XLOOKUP(N$1,Capacity!$D$3:$D$7,Capacity!$F$3:$F$7)-S64,0)</f>
        <v>0</v>
      </c>
      <c r="O64">
        <f>IF(T64&lt;_xlfn.XLOOKUP(O$1,Capacity!$D$3:$D$7,Capacity!$E$3:$E$7),_xlfn.XLOOKUP(O$1,Capacity!$D$3:$D$7,Capacity!$F$3:$F$7)-T64,0)</f>
        <v>0</v>
      </c>
      <c r="P64">
        <f>IF(U64&lt;_xlfn.XLOOKUP(P$1,Capacity!$D$3:$D$7,Capacity!$E$3:$E$7),_xlfn.XLOOKUP(P$1,Capacity!$D$3:$D$7,Capacity!$F$3:$F$7)-U64,0)</f>
        <v>0</v>
      </c>
      <c r="Q64">
        <f t="shared" si="1"/>
        <v>2260</v>
      </c>
      <c r="R64">
        <f t="shared" si="2"/>
        <v>22706</v>
      </c>
      <c r="S64">
        <f t="shared" si="3"/>
        <v>881</v>
      </c>
      <c r="T64">
        <f t="shared" si="4"/>
        <v>6999</v>
      </c>
      <c r="U64">
        <f t="shared" si="5"/>
        <v>4179</v>
      </c>
    </row>
    <row r="65" spans="1:21">
      <c r="A65" s="5">
        <f t="shared" si="6"/>
        <v>46086</v>
      </c>
      <c r="B65">
        <f>SUMIFS('Demand Projection'!$D$2:$D$169,'Demand Projection'!$B$2:$B$169,B$1,'Demand Projection'!$C$2:$C$169,$A65)</f>
        <v>0</v>
      </c>
      <c r="C65">
        <f>SUMIFS('Demand Projection'!$D$2:$D$169,'Demand Projection'!$B$2:$B$169,C$1,'Demand Projection'!$C$2:$C$169,$A65)</f>
        <v>0</v>
      </c>
      <c r="D65">
        <f>SUMIFS('Demand Projection'!$D$2:$D$169,'Demand Projection'!$B$2:$B$169,D$1,'Demand Projection'!$C$2:$C$169,$A65)</f>
        <v>927</v>
      </c>
      <c r="E65">
        <f>SUMIFS('Demand Projection'!$D$2:$D$169,'Demand Projection'!$B$2:$B$169,E$1,'Demand Projection'!$C$2:$C$169,$A65)</f>
        <v>0</v>
      </c>
      <c r="F65">
        <f>SUMIFS('Demand Projection'!$D$2:$D$169,'Demand Projection'!$B$2:$B$169,F$1,'Demand Projection'!$C$2:$C$169,$A65)</f>
        <v>0</v>
      </c>
      <c r="G65" cm="1">
        <f t="array" ref="G65">Q64+IF(ROW()-3&lt;2,0,INDEX(L:L,ROW()-3))</f>
        <v>2260</v>
      </c>
      <c r="H65" cm="1">
        <f t="array" ref="H65">R64+IF(ROW()-3&lt;2,0,INDEX(M:M,ROW()-3))</f>
        <v>22706</v>
      </c>
      <c r="I65" cm="1">
        <f t="array" ref="I65">S64+IF(ROW()-3&lt;2,0,INDEX(N:N,ROW()-3))</f>
        <v>881</v>
      </c>
      <c r="J65" cm="1">
        <f t="array" ref="J65">T64+IF(ROW()-3&lt;2,0,INDEX(O:O,ROW()-3))</f>
        <v>6999</v>
      </c>
      <c r="K65" cm="1">
        <f t="array" ref="K65">U64+IF(ROW()-3&lt;2,0,INDEX(P:P,ROW()-3))</f>
        <v>4179</v>
      </c>
      <c r="L65">
        <f>IF(Q65&lt;_xlfn.XLOOKUP(L$1,Capacity!$D$3:$D$7,Capacity!$E$3:$E$7),_xlfn.XLOOKUP(L$1,Capacity!$D$3:$D$7,Capacity!$F$3:$F$7)-Q65,0)</f>
        <v>0</v>
      </c>
      <c r="M65">
        <f>IF(R65&lt;_xlfn.XLOOKUP(M$1,Capacity!$D$3:$D$7,Capacity!$E$3:$E$7),_xlfn.XLOOKUP(M$1,Capacity!$D$3:$D$7,Capacity!$F$3:$F$7)-R65,0)</f>
        <v>0</v>
      </c>
      <c r="N65">
        <f>IF(S65&lt;_xlfn.XLOOKUP(N$1,Capacity!$D$3:$D$7,Capacity!$E$3:$E$7),_xlfn.XLOOKUP(N$1,Capacity!$D$3:$D$7,Capacity!$F$3:$F$7)-S65,0)</f>
        <v>1583</v>
      </c>
      <c r="O65">
        <f>IF(T65&lt;_xlfn.XLOOKUP(O$1,Capacity!$D$3:$D$7,Capacity!$E$3:$E$7),_xlfn.XLOOKUP(O$1,Capacity!$D$3:$D$7,Capacity!$F$3:$F$7)-T65,0)</f>
        <v>0</v>
      </c>
      <c r="P65">
        <f>IF(U65&lt;_xlfn.XLOOKUP(P$1,Capacity!$D$3:$D$7,Capacity!$E$3:$E$7),_xlfn.XLOOKUP(P$1,Capacity!$D$3:$D$7,Capacity!$F$3:$F$7)-U65,0)</f>
        <v>0</v>
      </c>
      <c r="Q65">
        <f t="shared" si="1"/>
        <v>2260</v>
      </c>
      <c r="R65">
        <f t="shared" si="2"/>
        <v>22706</v>
      </c>
      <c r="S65">
        <f t="shared" si="3"/>
        <v>-46</v>
      </c>
      <c r="T65">
        <f t="shared" si="4"/>
        <v>6999</v>
      </c>
      <c r="U65">
        <f t="shared" si="5"/>
        <v>4179</v>
      </c>
    </row>
    <row r="66" spans="1:21">
      <c r="A66" s="5">
        <f t="shared" si="6"/>
        <v>46087</v>
      </c>
      <c r="B66">
        <f>SUMIFS('Demand Projection'!$D$2:$D$169,'Demand Projection'!$B$2:$B$169,B$1,'Demand Projection'!$C$2:$C$169,$A66)</f>
        <v>0</v>
      </c>
      <c r="C66">
        <f>SUMIFS('Demand Projection'!$D$2:$D$169,'Demand Projection'!$B$2:$B$169,C$1,'Demand Projection'!$C$2:$C$169,$A66)</f>
        <v>0</v>
      </c>
      <c r="D66">
        <f>SUMIFS('Demand Projection'!$D$2:$D$169,'Demand Projection'!$B$2:$B$169,D$1,'Demand Projection'!$C$2:$C$169,$A66)</f>
        <v>0</v>
      </c>
      <c r="E66">
        <f>SUMIFS('Demand Projection'!$D$2:$D$169,'Demand Projection'!$B$2:$B$169,E$1,'Demand Projection'!$C$2:$C$169,$A66)</f>
        <v>618</v>
      </c>
      <c r="F66">
        <f>SUMIFS('Demand Projection'!$D$2:$D$169,'Demand Projection'!$B$2:$B$169,F$1,'Demand Projection'!$C$2:$C$169,$A66)</f>
        <v>0</v>
      </c>
      <c r="G66" cm="1">
        <f t="array" ref="G66">Q65+IF(ROW()-3&lt;2,0,INDEX(L:L,ROW()-3))</f>
        <v>2260</v>
      </c>
      <c r="H66" cm="1">
        <f t="array" ref="H66">R65+IF(ROW()-3&lt;2,0,INDEX(M:M,ROW()-3))</f>
        <v>22706</v>
      </c>
      <c r="I66" cm="1">
        <f t="array" ref="I66">S65+IF(ROW()-3&lt;2,0,INDEX(N:N,ROW()-3))</f>
        <v>-46</v>
      </c>
      <c r="J66" cm="1">
        <f t="array" ref="J66">T65+IF(ROW()-3&lt;2,0,INDEX(O:O,ROW()-3))</f>
        <v>6999</v>
      </c>
      <c r="K66" cm="1">
        <f t="array" ref="K66">U65+IF(ROW()-3&lt;2,0,INDEX(P:P,ROW()-3))</f>
        <v>4179</v>
      </c>
      <c r="L66">
        <f>IF(Q66&lt;_xlfn.XLOOKUP(L$1,Capacity!$D$3:$D$7,Capacity!$E$3:$E$7),_xlfn.XLOOKUP(L$1,Capacity!$D$3:$D$7,Capacity!$F$3:$F$7)-Q66,0)</f>
        <v>0</v>
      </c>
      <c r="M66">
        <f>IF(R66&lt;_xlfn.XLOOKUP(M$1,Capacity!$D$3:$D$7,Capacity!$E$3:$E$7),_xlfn.XLOOKUP(M$1,Capacity!$D$3:$D$7,Capacity!$F$3:$F$7)-R66,0)</f>
        <v>0</v>
      </c>
      <c r="N66">
        <f>IF(S66&lt;_xlfn.XLOOKUP(N$1,Capacity!$D$3:$D$7,Capacity!$E$3:$E$7),_xlfn.XLOOKUP(N$1,Capacity!$D$3:$D$7,Capacity!$F$3:$F$7)-S66,0)</f>
        <v>1583</v>
      </c>
      <c r="O66">
        <f>IF(T66&lt;_xlfn.XLOOKUP(O$1,Capacity!$D$3:$D$7,Capacity!$E$3:$E$7),_xlfn.XLOOKUP(O$1,Capacity!$D$3:$D$7,Capacity!$F$3:$F$7)-T66,0)</f>
        <v>0</v>
      </c>
      <c r="P66">
        <f>IF(U66&lt;_xlfn.XLOOKUP(P$1,Capacity!$D$3:$D$7,Capacity!$E$3:$E$7),_xlfn.XLOOKUP(P$1,Capacity!$D$3:$D$7,Capacity!$F$3:$F$7)-U66,0)</f>
        <v>0</v>
      </c>
      <c r="Q66">
        <f t="shared" si="1"/>
        <v>2260</v>
      </c>
      <c r="R66">
        <f t="shared" si="2"/>
        <v>22706</v>
      </c>
      <c r="S66">
        <f t="shared" si="3"/>
        <v>-46</v>
      </c>
      <c r="T66">
        <f t="shared" si="4"/>
        <v>6381</v>
      </c>
      <c r="U66">
        <f t="shared" si="5"/>
        <v>4179</v>
      </c>
    </row>
    <row r="67" spans="1:21">
      <c r="A67" s="5">
        <f t="shared" si="6"/>
        <v>46088</v>
      </c>
      <c r="B67">
        <f>SUMIFS('Demand Projection'!$D$2:$D$169,'Demand Projection'!$B$2:$B$169,B$1,'Demand Projection'!$C$2:$C$169,$A67)</f>
        <v>1029</v>
      </c>
      <c r="C67">
        <f>SUMIFS('Demand Projection'!$D$2:$D$169,'Demand Projection'!$B$2:$B$169,C$1,'Demand Projection'!$C$2:$C$169,$A67)</f>
        <v>0</v>
      </c>
      <c r="D67">
        <f>SUMIFS('Demand Projection'!$D$2:$D$169,'Demand Projection'!$B$2:$B$169,D$1,'Demand Projection'!$C$2:$C$169,$A67)</f>
        <v>0</v>
      </c>
      <c r="E67">
        <f>SUMIFS('Demand Projection'!$D$2:$D$169,'Demand Projection'!$B$2:$B$169,E$1,'Demand Projection'!$C$2:$C$169,$A67)</f>
        <v>0</v>
      </c>
      <c r="F67">
        <f>SUMIFS('Demand Projection'!$D$2:$D$169,'Demand Projection'!$B$2:$B$169,F$1,'Demand Projection'!$C$2:$C$169,$A67)</f>
        <v>0</v>
      </c>
      <c r="G67" cm="1">
        <f t="array" ref="G67">Q66+IF(ROW()-3&lt;2,0,INDEX(L:L,ROW()-3))</f>
        <v>2260</v>
      </c>
      <c r="H67" cm="1">
        <f t="array" ref="H67">R66+IF(ROW()-3&lt;2,0,INDEX(M:M,ROW()-3))</f>
        <v>22706</v>
      </c>
      <c r="I67" cm="1">
        <f t="array" ref="I67">S66+IF(ROW()-3&lt;2,0,INDEX(N:N,ROW()-3))</f>
        <v>-46</v>
      </c>
      <c r="J67" cm="1">
        <f t="array" ref="J67">T66+IF(ROW()-3&lt;2,0,INDEX(O:O,ROW()-3))</f>
        <v>6381</v>
      </c>
      <c r="K67" cm="1">
        <f t="array" ref="K67">U66+IF(ROW()-3&lt;2,0,INDEX(P:P,ROW()-3))</f>
        <v>4179</v>
      </c>
      <c r="L67">
        <f>IF(Q67&lt;_xlfn.XLOOKUP(L$1,Capacity!$D$3:$D$7,Capacity!$E$3:$E$7),_xlfn.XLOOKUP(L$1,Capacity!$D$3:$D$7,Capacity!$F$3:$F$7)-Q67,0)</f>
        <v>0</v>
      </c>
      <c r="M67">
        <f>IF(R67&lt;_xlfn.XLOOKUP(M$1,Capacity!$D$3:$D$7,Capacity!$E$3:$E$7),_xlfn.XLOOKUP(M$1,Capacity!$D$3:$D$7,Capacity!$F$3:$F$7)-R67,0)</f>
        <v>0</v>
      </c>
      <c r="N67">
        <f>IF(S67&lt;_xlfn.XLOOKUP(N$1,Capacity!$D$3:$D$7,Capacity!$E$3:$E$7),_xlfn.XLOOKUP(N$1,Capacity!$D$3:$D$7,Capacity!$F$3:$F$7)-S67,0)</f>
        <v>1583</v>
      </c>
      <c r="O67">
        <f>IF(T67&lt;_xlfn.XLOOKUP(O$1,Capacity!$D$3:$D$7,Capacity!$E$3:$E$7),_xlfn.XLOOKUP(O$1,Capacity!$D$3:$D$7,Capacity!$F$3:$F$7)-T67,0)</f>
        <v>0</v>
      </c>
      <c r="P67">
        <f>IF(U67&lt;_xlfn.XLOOKUP(P$1,Capacity!$D$3:$D$7,Capacity!$E$3:$E$7),_xlfn.XLOOKUP(P$1,Capacity!$D$3:$D$7,Capacity!$F$3:$F$7)-U67,0)</f>
        <v>0</v>
      </c>
      <c r="Q67">
        <f t="shared" ref="Q67:Q130" si="7">G67-B67</f>
        <v>1231</v>
      </c>
      <c r="R67">
        <f t="shared" ref="R67:R130" si="8">H67-C67</f>
        <v>22706</v>
      </c>
      <c r="S67">
        <f t="shared" ref="S67:S130" si="9">I67-D67</f>
        <v>-46</v>
      </c>
      <c r="T67">
        <f t="shared" ref="T67:T130" si="10">J67-E67</f>
        <v>6381</v>
      </c>
      <c r="U67">
        <f t="shared" ref="U67:U130" si="11">K67-F67</f>
        <v>4179</v>
      </c>
    </row>
    <row r="68" spans="1:21">
      <c r="A68" s="5">
        <f t="shared" si="6"/>
        <v>46089</v>
      </c>
      <c r="B68">
        <f>SUMIFS('Demand Projection'!$D$2:$D$169,'Demand Projection'!$B$2:$B$169,B$1,'Demand Projection'!$C$2:$C$169,$A68)</f>
        <v>0</v>
      </c>
      <c r="C68">
        <f>SUMIFS('Demand Projection'!$D$2:$D$169,'Demand Projection'!$B$2:$B$169,C$1,'Demand Projection'!$C$2:$C$169,$A68)</f>
        <v>0</v>
      </c>
      <c r="D68">
        <f>SUMIFS('Demand Projection'!$D$2:$D$169,'Demand Projection'!$B$2:$B$169,D$1,'Demand Projection'!$C$2:$C$169,$A68)</f>
        <v>0</v>
      </c>
      <c r="E68">
        <f>SUMIFS('Demand Projection'!$D$2:$D$169,'Demand Projection'!$B$2:$B$169,E$1,'Demand Projection'!$C$2:$C$169,$A68)</f>
        <v>0</v>
      </c>
      <c r="F68">
        <f>SUMIFS('Demand Projection'!$D$2:$D$169,'Demand Projection'!$B$2:$B$169,F$1,'Demand Projection'!$C$2:$C$169,$A68)</f>
        <v>0</v>
      </c>
      <c r="G68" cm="1">
        <f t="array" ref="G68">Q67+IF(ROW()-3&lt;2,0,INDEX(L:L,ROW()-3))</f>
        <v>1231</v>
      </c>
      <c r="H68" cm="1">
        <f t="array" ref="H68">R67+IF(ROW()-3&lt;2,0,INDEX(M:M,ROW()-3))</f>
        <v>22706</v>
      </c>
      <c r="I68" cm="1">
        <f t="array" ref="I68">S67+IF(ROW()-3&lt;2,0,INDEX(N:N,ROW()-3))</f>
        <v>1537</v>
      </c>
      <c r="J68" cm="1">
        <f t="array" ref="J68">T67+IF(ROW()-3&lt;2,0,INDEX(O:O,ROW()-3))</f>
        <v>6381</v>
      </c>
      <c r="K68" cm="1">
        <f t="array" ref="K68">U67+IF(ROW()-3&lt;2,0,INDEX(P:P,ROW()-3))</f>
        <v>4179</v>
      </c>
      <c r="L68">
        <f>IF(Q68&lt;_xlfn.XLOOKUP(L$1,Capacity!$D$3:$D$7,Capacity!$E$3:$E$7),_xlfn.XLOOKUP(L$1,Capacity!$D$3:$D$7,Capacity!$F$3:$F$7)-Q68,0)</f>
        <v>0</v>
      </c>
      <c r="M68">
        <f>IF(R68&lt;_xlfn.XLOOKUP(M$1,Capacity!$D$3:$D$7,Capacity!$E$3:$E$7),_xlfn.XLOOKUP(M$1,Capacity!$D$3:$D$7,Capacity!$F$3:$F$7)-R68,0)</f>
        <v>0</v>
      </c>
      <c r="N68">
        <f>IF(S68&lt;_xlfn.XLOOKUP(N$1,Capacity!$D$3:$D$7,Capacity!$E$3:$E$7),_xlfn.XLOOKUP(N$1,Capacity!$D$3:$D$7,Capacity!$F$3:$F$7)-S68,0)</f>
        <v>0</v>
      </c>
      <c r="O68">
        <f>IF(T68&lt;_xlfn.XLOOKUP(O$1,Capacity!$D$3:$D$7,Capacity!$E$3:$E$7),_xlfn.XLOOKUP(O$1,Capacity!$D$3:$D$7,Capacity!$F$3:$F$7)-T68,0)</f>
        <v>0</v>
      </c>
      <c r="P68">
        <f>IF(U68&lt;_xlfn.XLOOKUP(P$1,Capacity!$D$3:$D$7,Capacity!$E$3:$E$7),_xlfn.XLOOKUP(P$1,Capacity!$D$3:$D$7,Capacity!$F$3:$F$7)-U68,0)</f>
        <v>0</v>
      </c>
      <c r="Q68">
        <f t="shared" si="7"/>
        <v>1231</v>
      </c>
      <c r="R68">
        <f t="shared" si="8"/>
        <v>22706</v>
      </c>
      <c r="S68">
        <f t="shared" si="9"/>
        <v>1537</v>
      </c>
      <c r="T68">
        <f t="shared" si="10"/>
        <v>6381</v>
      </c>
      <c r="U68">
        <f t="shared" si="11"/>
        <v>4179</v>
      </c>
    </row>
    <row r="69" spans="1:21">
      <c r="A69" s="5">
        <f t="shared" ref="A69:A132" si="12">A68+1</f>
        <v>46090</v>
      </c>
      <c r="B69">
        <f>SUMIFS('Demand Projection'!$D$2:$D$169,'Demand Projection'!$B$2:$B$169,B$1,'Demand Projection'!$C$2:$C$169,$A69)</f>
        <v>0</v>
      </c>
      <c r="C69">
        <f>SUMIFS('Demand Projection'!$D$2:$D$169,'Demand Projection'!$B$2:$B$169,C$1,'Demand Projection'!$C$2:$C$169,$A69)</f>
        <v>0</v>
      </c>
      <c r="D69">
        <f>SUMIFS('Demand Projection'!$D$2:$D$169,'Demand Projection'!$B$2:$B$169,D$1,'Demand Projection'!$C$2:$C$169,$A69)</f>
        <v>515</v>
      </c>
      <c r="E69">
        <f>SUMIFS('Demand Projection'!$D$2:$D$169,'Demand Projection'!$B$2:$B$169,E$1,'Demand Projection'!$C$2:$C$169,$A69)</f>
        <v>0</v>
      </c>
      <c r="F69">
        <f>SUMIFS('Demand Projection'!$D$2:$D$169,'Demand Projection'!$B$2:$B$169,F$1,'Demand Projection'!$C$2:$C$169,$A69)</f>
        <v>0</v>
      </c>
      <c r="G69" cm="1">
        <f t="array" ref="G69">Q68+IF(ROW()-3&lt;2,0,INDEX(L:L,ROW()-3))</f>
        <v>1231</v>
      </c>
      <c r="H69" cm="1">
        <f t="array" ref="H69">R68+IF(ROW()-3&lt;2,0,INDEX(M:M,ROW()-3))</f>
        <v>22706</v>
      </c>
      <c r="I69" cm="1">
        <f t="array" ref="I69">S68+IF(ROW()-3&lt;2,0,INDEX(N:N,ROW()-3))</f>
        <v>3120</v>
      </c>
      <c r="J69" cm="1">
        <f t="array" ref="J69">T68+IF(ROW()-3&lt;2,0,INDEX(O:O,ROW()-3))</f>
        <v>6381</v>
      </c>
      <c r="K69" cm="1">
        <f t="array" ref="K69">U68+IF(ROW()-3&lt;2,0,INDEX(P:P,ROW()-3))</f>
        <v>4179</v>
      </c>
      <c r="L69">
        <f>IF(Q69&lt;_xlfn.XLOOKUP(L$1,Capacity!$D$3:$D$7,Capacity!$E$3:$E$7),_xlfn.XLOOKUP(L$1,Capacity!$D$3:$D$7,Capacity!$F$3:$F$7)-Q69,0)</f>
        <v>0</v>
      </c>
      <c r="M69">
        <f>IF(R69&lt;_xlfn.XLOOKUP(M$1,Capacity!$D$3:$D$7,Capacity!$E$3:$E$7),_xlfn.XLOOKUP(M$1,Capacity!$D$3:$D$7,Capacity!$F$3:$F$7)-R69,0)</f>
        <v>0</v>
      </c>
      <c r="N69">
        <f>IF(S69&lt;_xlfn.XLOOKUP(N$1,Capacity!$D$3:$D$7,Capacity!$E$3:$E$7),_xlfn.XLOOKUP(N$1,Capacity!$D$3:$D$7,Capacity!$F$3:$F$7)-S69,0)</f>
        <v>0</v>
      </c>
      <c r="O69">
        <f>IF(T69&lt;_xlfn.XLOOKUP(O$1,Capacity!$D$3:$D$7,Capacity!$E$3:$E$7),_xlfn.XLOOKUP(O$1,Capacity!$D$3:$D$7,Capacity!$F$3:$F$7)-T69,0)</f>
        <v>0</v>
      </c>
      <c r="P69">
        <f>IF(U69&lt;_xlfn.XLOOKUP(P$1,Capacity!$D$3:$D$7,Capacity!$E$3:$E$7),_xlfn.XLOOKUP(P$1,Capacity!$D$3:$D$7,Capacity!$F$3:$F$7)-U69,0)</f>
        <v>0</v>
      </c>
      <c r="Q69">
        <f t="shared" si="7"/>
        <v>1231</v>
      </c>
      <c r="R69">
        <f t="shared" si="8"/>
        <v>22706</v>
      </c>
      <c r="S69">
        <f t="shared" si="9"/>
        <v>2605</v>
      </c>
      <c r="T69">
        <f t="shared" si="10"/>
        <v>6381</v>
      </c>
      <c r="U69">
        <f t="shared" si="11"/>
        <v>4179</v>
      </c>
    </row>
    <row r="70" spans="1:21">
      <c r="A70" s="5">
        <f t="shared" si="12"/>
        <v>46091</v>
      </c>
      <c r="B70">
        <f>SUMIFS('Demand Projection'!$D$2:$D$169,'Demand Projection'!$B$2:$B$169,B$1,'Demand Projection'!$C$2:$C$169,$A70)</f>
        <v>0</v>
      </c>
      <c r="C70">
        <f>SUMIFS('Demand Projection'!$D$2:$D$169,'Demand Projection'!$B$2:$B$169,C$1,'Demand Projection'!$C$2:$C$169,$A70)</f>
        <v>0</v>
      </c>
      <c r="D70">
        <f>SUMIFS('Demand Projection'!$D$2:$D$169,'Demand Projection'!$B$2:$B$169,D$1,'Demand Projection'!$C$2:$C$169,$A70)</f>
        <v>0</v>
      </c>
      <c r="E70">
        <f>SUMIFS('Demand Projection'!$D$2:$D$169,'Demand Projection'!$B$2:$B$169,E$1,'Demand Projection'!$C$2:$C$169,$A70)</f>
        <v>0</v>
      </c>
      <c r="F70">
        <f>SUMIFS('Demand Projection'!$D$2:$D$169,'Demand Projection'!$B$2:$B$169,F$1,'Demand Projection'!$C$2:$C$169,$A70)</f>
        <v>0</v>
      </c>
      <c r="G70" cm="1">
        <f t="array" ref="G70">Q69+IF(ROW()-3&lt;2,0,INDEX(L:L,ROW()-3))</f>
        <v>1231</v>
      </c>
      <c r="H70" cm="1">
        <f t="array" ref="H70">R69+IF(ROW()-3&lt;2,0,INDEX(M:M,ROW()-3))</f>
        <v>22706</v>
      </c>
      <c r="I70" cm="1">
        <f t="array" ref="I70">S69+IF(ROW()-3&lt;2,0,INDEX(N:N,ROW()-3))</f>
        <v>4188</v>
      </c>
      <c r="J70" cm="1">
        <f t="array" ref="J70">T69+IF(ROW()-3&lt;2,0,INDEX(O:O,ROW()-3))</f>
        <v>6381</v>
      </c>
      <c r="K70" cm="1">
        <f t="array" ref="K70">U69+IF(ROW()-3&lt;2,0,INDEX(P:P,ROW()-3))</f>
        <v>4179</v>
      </c>
      <c r="L70">
        <f>IF(Q70&lt;_xlfn.XLOOKUP(L$1,Capacity!$D$3:$D$7,Capacity!$E$3:$E$7),_xlfn.XLOOKUP(L$1,Capacity!$D$3:$D$7,Capacity!$F$3:$F$7)-Q70,0)</f>
        <v>0</v>
      </c>
      <c r="M70">
        <f>IF(R70&lt;_xlfn.XLOOKUP(M$1,Capacity!$D$3:$D$7,Capacity!$E$3:$E$7),_xlfn.XLOOKUP(M$1,Capacity!$D$3:$D$7,Capacity!$F$3:$F$7)-R70,0)</f>
        <v>0</v>
      </c>
      <c r="N70">
        <f>IF(S70&lt;_xlfn.XLOOKUP(N$1,Capacity!$D$3:$D$7,Capacity!$E$3:$E$7),_xlfn.XLOOKUP(N$1,Capacity!$D$3:$D$7,Capacity!$F$3:$F$7)-S70,0)</f>
        <v>0</v>
      </c>
      <c r="O70">
        <f>IF(T70&lt;_xlfn.XLOOKUP(O$1,Capacity!$D$3:$D$7,Capacity!$E$3:$E$7),_xlfn.XLOOKUP(O$1,Capacity!$D$3:$D$7,Capacity!$F$3:$F$7)-T70,0)</f>
        <v>0</v>
      </c>
      <c r="P70">
        <f>IF(U70&lt;_xlfn.XLOOKUP(P$1,Capacity!$D$3:$D$7,Capacity!$E$3:$E$7),_xlfn.XLOOKUP(P$1,Capacity!$D$3:$D$7,Capacity!$F$3:$F$7)-U70,0)</f>
        <v>0</v>
      </c>
      <c r="Q70">
        <f t="shared" si="7"/>
        <v>1231</v>
      </c>
      <c r="R70">
        <f t="shared" si="8"/>
        <v>22706</v>
      </c>
      <c r="S70">
        <f t="shared" si="9"/>
        <v>4188</v>
      </c>
      <c r="T70">
        <f t="shared" si="10"/>
        <v>6381</v>
      </c>
      <c r="U70">
        <f t="shared" si="11"/>
        <v>4179</v>
      </c>
    </row>
    <row r="71" spans="1:21">
      <c r="A71" s="5">
        <f t="shared" si="12"/>
        <v>46092</v>
      </c>
      <c r="B71">
        <f>SUMIFS('Demand Projection'!$D$2:$D$169,'Demand Projection'!$B$2:$B$169,B$1,'Demand Projection'!$C$2:$C$169,$A71)</f>
        <v>0</v>
      </c>
      <c r="C71">
        <f>SUMIFS('Demand Projection'!$D$2:$D$169,'Demand Projection'!$B$2:$B$169,C$1,'Demand Projection'!$C$2:$C$169,$A71)</f>
        <v>0</v>
      </c>
      <c r="D71">
        <f>SUMIFS('Demand Projection'!$D$2:$D$169,'Demand Projection'!$B$2:$B$169,D$1,'Demand Projection'!$C$2:$C$169,$A71)</f>
        <v>0</v>
      </c>
      <c r="E71">
        <f>SUMIFS('Demand Projection'!$D$2:$D$169,'Demand Projection'!$B$2:$B$169,E$1,'Demand Projection'!$C$2:$C$169,$A71)</f>
        <v>0</v>
      </c>
      <c r="F71">
        <f>SUMIFS('Demand Projection'!$D$2:$D$169,'Demand Projection'!$B$2:$B$169,F$1,'Demand Projection'!$C$2:$C$169,$A71)</f>
        <v>0</v>
      </c>
      <c r="G71" cm="1">
        <f t="array" ref="G71">Q70+IF(ROW()-3&lt;2,0,INDEX(L:L,ROW()-3))</f>
        <v>1231</v>
      </c>
      <c r="H71" cm="1">
        <f t="array" ref="H71">R70+IF(ROW()-3&lt;2,0,INDEX(M:M,ROW()-3))</f>
        <v>22706</v>
      </c>
      <c r="I71" cm="1">
        <f t="array" ref="I71">S70+IF(ROW()-3&lt;2,0,INDEX(N:N,ROW()-3))</f>
        <v>4188</v>
      </c>
      <c r="J71" cm="1">
        <f t="array" ref="J71">T70+IF(ROW()-3&lt;2,0,INDEX(O:O,ROW()-3))</f>
        <v>6381</v>
      </c>
      <c r="K71" cm="1">
        <f t="array" ref="K71">U70+IF(ROW()-3&lt;2,0,INDEX(P:P,ROW()-3))</f>
        <v>4179</v>
      </c>
      <c r="L71">
        <f>IF(Q71&lt;_xlfn.XLOOKUP(L$1,Capacity!$D$3:$D$7,Capacity!$E$3:$E$7),_xlfn.XLOOKUP(L$1,Capacity!$D$3:$D$7,Capacity!$F$3:$F$7)-Q71,0)</f>
        <v>0</v>
      </c>
      <c r="M71">
        <f>IF(R71&lt;_xlfn.XLOOKUP(M$1,Capacity!$D$3:$D$7,Capacity!$E$3:$E$7),_xlfn.XLOOKUP(M$1,Capacity!$D$3:$D$7,Capacity!$F$3:$F$7)-R71,0)</f>
        <v>0</v>
      </c>
      <c r="N71">
        <f>IF(S71&lt;_xlfn.XLOOKUP(N$1,Capacity!$D$3:$D$7,Capacity!$E$3:$E$7),_xlfn.XLOOKUP(N$1,Capacity!$D$3:$D$7,Capacity!$F$3:$F$7)-S71,0)</f>
        <v>0</v>
      </c>
      <c r="O71">
        <f>IF(T71&lt;_xlfn.XLOOKUP(O$1,Capacity!$D$3:$D$7,Capacity!$E$3:$E$7),_xlfn.XLOOKUP(O$1,Capacity!$D$3:$D$7,Capacity!$F$3:$F$7)-T71,0)</f>
        <v>0</v>
      </c>
      <c r="P71">
        <f>IF(U71&lt;_xlfn.XLOOKUP(P$1,Capacity!$D$3:$D$7,Capacity!$E$3:$E$7),_xlfn.XLOOKUP(P$1,Capacity!$D$3:$D$7,Capacity!$F$3:$F$7)-U71,0)</f>
        <v>0</v>
      </c>
      <c r="Q71">
        <f t="shared" si="7"/>
        <v>1231</v>
      </c>
      <c r="R71">
        <f t="shared" si="8"/>
        <v>22706</v>
      </c>
      <c r="S71">
        <f t="shared" si="9"/>
        <v>4188</v>
      </c>
      <c r="T71">
        <f t="shared" si="10"/>
        <v>6381</v>
      </c>
      <c r="U71">
        <f t="shared" si="11"/>
        <v>4179</v>
      </c>
    </row>
    <row r="72" spans="1:21">
      <c r="A72" s="5">
        <f t="shared" si="12"/>
        <v>46093</v>
      </c>
      <c r="B72">
        <f>SUMIFS('Demand Projection'!$D$2:$D$169,'Demand Projection'!$B$2:$B$169,B$1,'Demand Projection'!$C$2:$C$169,$A72)</f>
        <v>0</v>
      </c>
      <c r="C72">
        <f>SUMIFS('Demand Projection'!$D$2:$D$169,'Demand Projection'!$B$2:$B$169,C$1,'Demand Projection'!$C$2:$C$169,$A72)</f>
        <v>0</v>
      </c>
      <c r="D72">
        <f>SUMIFS('Demand Projection'!$D$2:$D$169,'Demand Projection'!$B$2:$B$169,D$1,'Demand Projection'!$C$2:$C$169,$A72)</f>
        <v>0</v>
      </c>
      <c r="E72">
        <f>SUMIFS('Demand Projection'!$D$2:$D$169,'Demand Projection'!$B$2:$B$169,E$1,'Demand Projection'!$C$2:$C$169,$A72)</f>
        <v>0</v>
      </c>
      <c r="F72">
        <f>SUMIFS('Demand Projection'!$D$2:$D$169,'Demand Projection'!$B$2:$B$169,F$1,'Demand Projection'!$C$2:$C$169,$A72)</f>
        <v>412</v>
      </c>
      <c r="G72" cm="1">
        <f t="array" ref="G72">Q71+IF(ROW()-3&lt;2,0,INDEX(L:L,ROW()-3))</f>
        <v>1231</v>
      </c>
      <c r="H72" cm="1">
        <f t="array" ref="H72">R71+IF(ROW()-3&lt;2,0,INDEX(M:M,ROW()-3))</f>
        <v>22706</v>
      </c>
      <c r="I72" cm="1">
        <f t="array" ref="I72">S71+IF(ROW()-3&lt;2,0,INDEX(N:N,ROW()-3))</f>
        <v>4188</v>
      </c>
      <c r="J72" cm="1">
        <f t="array" ref="J72">T71+IF(ROW()-3&lt;2,0,INDEX(O:O,ROW()-3))</f>
        <v>6381</v>
      </c>
      <c r="K72" cm="1">
        <f t="array" ref="K72">U71+IF(ROW()-3&lt;2,0,INDEX(P:P,ROW()-3))</f>
        <v>4179</v>
      </c>
      <c r="L72">
        <f>IF(Q72&lt;_xlfn.XLOOKUP(L$1,Capacity!$D$3:$D$7,Capacity!$E$3:$E$7),_xlfn.XLOOKUP(L$1,Capacity!$D$3:$D$7,Capacity!$F$3:$F$7)-Q72,0)</f>
        <v>0</v>
      </c>
      <c r="M72">
        <f>IF(R72&lt;_xlfn.XLOOKUP(M$1,Capacity!$D$3:$D$7,Capacity!$E$3:$E$7),_xlfn.XLOOKUP(M$1,Capacity!$D$3:$D$7,Capacity!$F$3:$F$7)-R72,0)</f>
        <v>0</v>
      </c>
      <c r="N72">
        <f>IF(S72&lt;_xlfn.XLOOKUP(N$1,Capacity!$D$3:$D$7,Capacity!$E$3:$E$7),_xlfn.XLOOKUP(N$1,Capacity!$D$3:$D$7,Capacity!$F$3:$F$7)-S72,0)</f>
        <v>0</v>
      </c>
      <c r="O72">
        <f>IF(T72&lt;_xlfn.XLOOKUP(O$1,Capacity!$D$3:$D$7,Capacity!$E$3:$E$7),_xlfn.XLOOKUP(O$1,Capacity!$D$3:$D$7,Capacity!$F$3:$F$7)-T72,0)</f>
        <v>0</v>
      </c>
      <c r="P72">
        <f>IF(U72&lt;_xlfn.XLOOKUP(P$1,Capacity!$D$3:$D$7,Capacity!$E$3:$E$7),_xlfn.XLOOKUP(P$1,Capacity!$D$3:$D$7,Capacity!$F$3:$F$7)-U72,0)</f>
        <v>0</v>
      </c>
      <c r="Q72">
        <f t="shared" si="7"/>
        <v>1231</v>
      </c>
      <c r="R72">
        <f t="shared" si="8"/>
        <v>22706</v>
      </c>
      <c r="S72">
        <f t="shared" si="9"/>
        <v>4188</v>
      </c>
      <c r="T72">
        <f t="shared" si="10"/>
        <v>6381</v>
      </c>
      <c r="U72">
        <f t="shared" si="11"/>
        <v>3767</v>
      </c>
    </row>
    <row r="73" spans="1:21">
      <c r="A73" s="5">
        <f t="shared" si="12"/>
        <v>46094</v>
      </c>
      <c r="B73">
        <f>SUMIFS('Demand Projection'!$D$2:$D$169,'Demand Projection'!$B$2:$B$169,B$1,'Demand Projection'!$C$2:$C$169,$A73)</f>
        <v>0</v>
      </c>
      <c r="C73">
        <f>SUMIFS('Demand Projection'!$D$2:$D$169,'Demand Projection'!$B$2:$B$169,C$1,'Demand Projection'!$C$2:$C$169,$A73)</f>
        <v>618</v>
      </c>
      <c r="D73">
        <f>SUMIFS('Demand Projection'!$D$2:$D$169,'Demand Projection'!$B$2:$B$169,D$1,'Demand Projection'!$C$2:$C$169,$A73)</f>
        <v>0</v>
      </c>
      <c r="E73">
        <f>SUMIFS('Demand Projection'!$D$2:$D$169,'Demand Projection'!$B$2:$B$169,E$1,'Demand Projection'!$C$2:$C$169,$A73)</f>
        <v>0</v>
      </c>
      <c r="F73">
        <f>SUMIFS('Demand Projection'!$D$2:$D$169,'Demand Projection'!$B$2:$B$169,F$1,'Demand Projection'!$C$2:$C$169,$A73)</f>
        <v>0</v>
      </c>
      <c r="G73" cm="1">
        <f t="array" ref="G73">Q72+IF(ROW()-3&lt;2,0,INDEX(L:L,ROW()-3))</f>
        <v>1231</v>
      </c>
      <c r="H73" cm="1">
        <f t="array" ref="H73">R72+IF(ROW()-3&lt;2,0,INDEX(M:M,ROW()-3))</f>
        <v>22706</v>
      </c>
      <c r="I73" cm="1">
        <f t="array" ref="I73">S72+IF(ROW()-3&lt;2,0,INDEX(N:N,ROW()-3))</f>
        <v>4188</v>
      </c>
      <c r="J73" cm="1">
        <f t="array" ref="J73">T72+IF(ROW()-3&lt;2,0,INDEX(O:O,ROW()-3))</f>
        <v>6381</v>
      </c>
      <c r="K73" cm="1">
        <f t="array" ref="K73">U72+IF(ROW()-3&lt;2,0,INDEX(P:P,ROW()-3))</f>
        <v>3767</v>
      </c>
      <c r="L73">
        <f>IF(Q73&lt;_xlfn.XLOOKUP(L$1,Capacity!$D$3:$D$7,Capacity!$E$3:$E$7),_xlfn.XLOOKUP(L$1,Capacity!$D$3:$D$7,Capacity!$F$3:$F$7)-Q73,0)</f>
        <v>0</v>
      </c>
      <c r="M73">
        <f>IF(R73&lt;_xlfn.XLOOKUP(M$1,Capacity!$D$3:$D$7,Capacity!$E$3:$E$7),_xlfn.XLOOKUP(M$1,Capacity!$D$3:$D$7,Capacity!$F$3:$F$7)-R73,0)</f>
        <v>0</v>
      </c>
      <c r="N73">
        <f>IF(S73&lt;_xlfn.XLOOKUP(N$1,Capacity!$D$3:$D$7,Capacity!$E$3:$E$7),_xlfn.XLOOKUP(N$1,Capacity!$D$3:$D$7,Capacity!$F$3:$F$7)-S73,0)</f>
        <v>0</v>
      </c>
      <c r="O73">
        <f>IF(T73&lt;_xlfn.XLOOKUP(O$1,Capacity!$D$3:$D$7,Capacity!$E$3:$E$7),_xlfn.XLOOKUP(O$1,Capacity!$D$3:$D$7,Capacity!$F$3:$F$7)-T73,0)</f>
        <v>0</v>
      </c>
      <c r="P73">
        <f>IF(U73&lt;_xlfn.XLOOKUP(P$1,Capacity!$D$3:$D$7,Capacity!$E$3:$E$7),_xlfn.XLOOKUP(P$1,Capacity!$D$3:$D$7,Capacity!$F$3:$F$7)-U73,0)</f>
        <v>0</v>
      </c>
      <c r="Q73">
        <f t="shared" si="7"/>
        <v>1231</v>
      </c>
      <c r="R73">
        <f t="shared" si="8"/>
        <v>22088</v>
      </c>
      <c r="S73">
        <f t="shared" si="9"/>
        <v>4188</v>
      </c>
      <c r="T73">
        <f t="shared" si="10"/>
        <v>6381</v>
      </c>
      <c r="U73">
        <f t="shared" si="11"/>
        <v>3767</v>
      </c>
    </row>
    <row r="74" spans="1:21">
      <c r="A74" s="5">
        <f t="shared" si="12"/>
        <v>46095</v>
      </c>
      <c r="B74">
        <f>SUMIFS('Demand Projection'!$D$2:$D$169,'Demand Projection'!$B$2:$B$169,B$1,'Demand Projection'!$C$2:$C$169,$A74)</f>
        <v>0</v>
      </c>
      <c r="C74">
        <f>SUMIFS('Demand Projection'!$D$2:$D$169,'Demand Projection'!$B$2:$B$169,C$1,'Demand Projection'!$C$2:$C$169,$A74)</f>
        <v>0</v>
      </c>
      <c r="D74">
        <f>SUMIFS('Demand Projection'!$D$2:$D$169,'Demand Projection'!$B$2:$B$169,D$1,'Demand Projection'!$C$2:$C$169,$A74)</f>
        <v>0</v>
      </c>
      <c r="E74">
        <f>SUMIFS('Demand Projection'!$D$2:$D$169,'Demand Projection'!$B$2:$B$169,E$1,'Demand Projection'!$C$2:$C$169,$A74)</f>
        <v>0</v>
      </c>
      <c r="F74">
        <f>SUMIFS('Demand Projection'!$D$2:$D$169,'Demand Projection'!$B$2:$B$169,F$1,'Demand Projection'!$C$2:$C$169,$A74)</f>
        <v>0</v>
      </c>
      <c r="G74" cm="1">
        <f t="array" ref="G74">Q73+IF(ROW()-3&lt;2,0,INDEX(L:L,ROW()-3))</f>
        <v>1231</v>
      </c>
      <c r="H74" cm="1">
        <f t="array" ref="H74">R73+IF(ROW()-3&lt;2,0,INDEX(M:M,ROW()-3))</f>
        <v>22088</v>
      </c>
      <c r="I74" cm="1">
        <f t="array" ref="I74">S73+IF(ROW()-3&lt;2,0,INDEX(N:N,ROW()-3))</f>
        <v>4188</v>
      </c>
      <c r="J74" cm="1">
        <f t="array" ref="J74">T73+IF(ROW()-3&lt;2,0,INDEX(O:O,ROW()-3))</f>
        <v>6381</v>
      </c>
      <c r="K74" cm="1">
        <f t="array" ref="K74">U73+IF(ROW()-3&lt;2,0,INDEX(P:P,ROW()-3))</f>
        <v>3767</v>
      </c>
      <c r="L74">
        <f>IF(Q74&lt;_xlfn.XLOOKUP(L$1,Capacity!$D$3:$D$7,Capacity!$E$3:$E$7),_xlfn.XLOOKUP(L$1,Capacity!$D$3:$D$7,Capacity!$F$3:$F$7)-Q74,0)</f>
        <v>0</v>
      </c>
      <c r="M74">
        <f>IF(R74&lt;_xlfn.XLOOKUP(M$1,Capacity!$D$3:$D$7,Capacity!$E$3:$E$7),_xlfn.XLOOKUP(M$1,Capacity!$D$3:$D$7,Capacity!$F$3:$F$7)-R74,0)</f>
        <v>0</v>
      </c>
      <c r="N74">
        <f>IF(S74&lt;_xlfn.XLOOKUP(N$1,Capacity!$D$3:$D$7,Capacity!$E$3:$E$7),_xlfn.XLOOKUP(N$1,Capacity!$D$3:$D$7,Capacity!$F$3:$F$7)-S74,0)</f>
        <v>0</v>
      </c>
      <c r="O74">
        <f>IF(T74&lt;_xlfn.XLOOKUP(O$1,Capacity!$D$3:$D$7,Capacity!$E$3:$E$7),_xlfn.XLOOKUP(O$1,Capacity!$D$3:$D$7,Capacity!$F$3:$F$7)-T74,0)</f>
        <v>0</v>
      </c>
      <c r="P74">
        <f>IF(U74&lt;_xlfn.XLOOKUP(P$1,Capacity!$D$3:$D$7,Capacity!$E$3:$E$7),_xlfn.XLOOKUP(P$1,Capacity!$D$3:$D$7,Capacity!$F$3:$F$7)-U74,0)</f>
        <v>0</v>
      </c>
      <c r="Q74">
        <f t="shared" si="7"/>
        <v>1231</v>
      </c>
      <c r="R74">
        <f t="shared" si="8"/>
        <v>22088</v>
      </c>
      <c r="S74">
        <f t="shared" si="9"/>
        <v>4188</v>
      </c>
      <c r="T74">
        <f t="shared" si="10"/>
        <v>6381</v>
      </c>
      <c r="U74">
        <f t="shared" si="11"/>
        <v>3767</v>
      </c>
    </row>
    <row r="75" spans="1:21">
      <c r="A75" s="5">
        <f t="shared" si="12"/>
        <v>46096</v>
      </c>
      <c r="B75">
        <f>SUMIFS('Demand Projection'!$D$2:$D$169,'Demand Projection'!$B$2:$B$169,B$1,'Demand Projection'!$C$2:$C$169,$A75)</f>
        <v>0</v>
      </c>
      <c r="C75">
        <f>SUMIFS('Demand Projection'!$D$2:$D$169,'Demand Projection'!$B$2:$B$169,C$1,'Demand Projection'!$C$2:$C$169,$A75)</f>
        <v>0</v>
      </c>
      <c r="D75">
        <f>SUMIFS('Demand Projection'!$D$2:$D$169,'Demand Projection'!$B$2:$B$169,D$1,'Demand Projection'!$C$2:$C$169,$A75)</f>
        <v>0</v>
      </c>
      <c r="E75">
        <f>SUMIFS('Demand Projection'!$D$2:$D$169,'Demand Projection'!$B$2:$B$169,E$1,'Demand Projection'!$C$2:$C$169,$A75)</f>
        <v>0</v>
      </c>
      <c r="F75">
        <f>SUMIFS('Demand Projection'!$D$2:$D$169,'Demand Projection'!$B$2:$B$169,F$1,'Demand Projection'!$C$2:$C$169,$A75)</f>
        <v>0</v>
      </c>
      <c r="G75" cm="1">
        <f t="array" ref="G75">Q74+IF(ROW()-3&lt;2,0,INDEX(L:L,ROW()-3))</f>
        <v>1231</v>
      </c>
      <c r="H75" cm="1">
        <f t="array" ref="H75">R74+IF(ROW()-3&lt;2,0,INDEX(M:M,ROW()-3))</f>
        <v>22088</v>
      </c>
      <c r="I75" cm="1">
        <f t="array" ref="I75">S74+IF(ROW()-3&lt;2,0,INDEX(N:N,ROW()-3))</f>
        <v>4188</v>
      </c>
      <c r="J75" cm="1">
        <f t="array" ref="J75">T74+IF(ROW()-3&lt;2,0,INDEX(O:O,ROW()-3))</f>
        <v>6381</v>
      </c>
      <c r="K75" cm="1">
        <f t="array" ref="K75">U74+IF(ROW()-3&lt;2,0,INDEX(P:P,ROW()-3))</f>
        <v>3767</v>
      </c>
      <c r="L75">
        <f>IF(Q75&lt;_xlfn.XLOOKUP(L$1,Capacity!$D$3:$D$7,Capacity!$E$3:$E$7),_xlfn.XLOOKUP(L$1,Capacity!$D$3:$D$7,Capacity!$F$3:$F$7)-Q75,0)</f>
        <v>0</v>
      </c>
      <c r="M75">
        <f>IF(R75&lt;_xlfn.XLOOKUP(M$1,Capacity!$D$3:$D$7,Capacity!$E$3:$E$7),_xlfn.XLOOKUP(M$1,Capacity!$D$3:$D$7,Capacity!$F$3:$F$7)-R75,0)</f>
        <v>0</v>
      </c>
      <c r="N75">
        <f>IF(S75&lt;_xlfn.XLOOKUP(N$1,Capacity!$D$3:$D$7,Capacity!$E$3:$E$7),_xlfn.XLOOKUP(N$1,Capacity!$D$3:$D$7,Capacity!$F$3:$F$7)-S75,0)</f>
        <v>0</v>
      </c>
      <c r="O75">
        <f>IF(T75&lt;_xlfn.XLOOKUP(O$1,Capacity!$D$3:$D$7,Capacity!$E$3:$E$7),_xlfn.XLOOKUP(O$1,Capacity!$D$3:$D$7,Capacity!$F$3:$F$7)-T75,0)</f>
        <v>0</v>
      </c>
      <c r="P75">
        <f>IF(U75&lt;_xlfn.XLOOKUP(P$1,Capacity!$D$3:$D$7,Capacity!$E$3:$E$7),_xlfn.XLOOKUP(P$1,Capacity!$D$3:$D$7,Capacity!$F$3:$F$7)-U75,0)</f>
        <v>0</v>
      </c>
      <c r="Q75">
        <f t="shared" si="7"/>
        <v>1231</v>
      </c>
      <c r="R75">
        <f t="shared" si="8"/>
        <v>22088</v>
      </c>
      <c r="S75">
        <f t="shared" si="9"/>
        <v>4188</v>
      </c>
      <c r="T75">
        <f t="shared" si="10"/>
        <v>6381</v>
      </c>
      <c r="U75">
        <f t="shared" si="11"/>
        <v>3767</v>
      </c>
    </row>
    <row r="76" spans="1:21">
      <c r="A76" s="5">
        <f t="shared" si="12"/>
        <v>46097</v>
      </c>
      <c r="B76">
        <f>SUMIFS('Demand Projection'!$D$2:$D$169,'Demand Projection'!$B$2:$B$169,B$1,'Demand Projection'!$C$2:$C$169,$A76)</f>
        <v>0</v>
      </c>
      <c r="C76">
        <f>SUMIFS('Demand Projection'!$D$2:$D$169,'Demand Projection'!$B$2:$B$169,C$1,'Demand Projection'!$C$2:$C$169,$A76)</f>
        <v>0</v>
      </c>
      <c r="D76">
        <f>SUMIFS('Demand Projection'!$D$2:$D$169,'Demand Projection'!$B$2:$B$169,D$1,'Demand Projection'!$C$2:$C$169,$A76)</f>
        <v>0</v>
      </c>
      <c r="E76">
        <f>SUMIFS('Demand Projection'!$D$2:$D$169,'Demand Projection'!$B$2:$B$169,E$1,'Demand Projection'!$C$2:$C$169,$A76)</f>
        <v>0</v>
      </c>
      <c r="F76">
        <f>SUMIFS('Demand Projection'!$D$2:$D$169,'Demand Projection'!$B$2:$B$169,F$1,'Demand Projection'!$C$2:$C$169,$A76)</f>
        <v>0</v>
      </c>
      <c r="G76" cm="1">
        <f t="array" ref="G76">Q75+IF(ROW()-3&lt;2,0,INDEX(L:L,ROW()-3))</f>
        <v>1231</v>
      </c>
      <c r="H76" cm="1">
        <f t="array" ref="H76">R75+IF(ROW()-3&lt;2,0,INDEX(M:M,ROW()-3))</f>
        <v>22088</v>
      </c>
      <c r="I76" cm="1">
        <f t="array" ref="I76">S75+IF(ROW()-3&lt;2,0,INDEX(N:N,ROW()-3))</f>
        <v>4188</v>
      </c>
      <c r="J76" cm="1">
        <f t="array" ref="J76">T75+IF(ROW()-3&lt;2,0,INDEX(O:O,ROW()-3))</f>
        <v>6381</v>
      </c>
      <c r="K76" cm="1">
        <f t="array" ref="K76">U75+IF(ROW()-3&lt;2,0,INDEX(P:P,ROW()-3))</f>
        <v>3767</v>
      </c>
      <c r="L76">
        <f>IF(Q76&lt;_xlfn.XLOOKUP(L$1,Capacity!$D$3:$D$7,Capacity!$E$3:$E$7),_xlfn.XLOOKUP(L$1,Capacity!$D$3:$D$7,Capacity!$F$3:$F$7)-Q76,0)</f>
        <v>0</v>
      </c>
      <c r="M76">
        <f>IF(R76&lt;_xlfn.XLOOKUP(M$1,Capacity!$D$3:$D$7,Capacity!$E$3:$E$7),_xlfn.XLOOKUP(M$1,Capacity!$D$3:$D$7,Capacity!$F$3:$F$7)-R76,0)</f>
        <v>0</v>
      </c>
      <c r="N76">
        <f>IF(S76&lt;_xlfn.XLOOKUP(N$1,Capacity!$D$3:$D$7,Capacity!$E$3:$E$7),_xlfn.XLOOKUP(N$1,Capacity!$D$3:$D$7,Capacity!$F$3:$F$7)-S76,0)</f>
        <v>0</v>
      </c>
      <c r="O76">
        <f>IF(T76&lt;_xlfn.XLOOKUP(O$1,Capacity!$D$3:$D$7,Capacity!$E$3:$E$7),_xlfn.XLOOKUP(O$1,Capacity!$D$3:$D$7,Capacity!$F$3:$F$7)-T76,0)</f>
        <v>0</v>
      </c>
      <c r="P76">
        <f>IF(U76&lt;_xlfn.XLOOKUP(P$1,Capacity!$D$3:$D$7,Capacity!$E$3:$E$7),_xlfn.XLOOKUP(P$1,Capacity!$D$3:$D$7,Capacity!$F$3:$F$7)-U76,0)</f>
        <v>0</v>
      </c>
      <c r="Q76">
        <f t="shared" si="7"/>
        <v>1231</v>
      </c>
      <c r="R76">
        <f t="shared" si="8"/>
        <v>22088</v>
      </c>
      <c r="S76">
        <f t="shared" si="9"/>
        <v>4188</v>
      </c>
      <c r="T76">
        <f t="shared" si="10"/>
        <v>6381</v>
      </c>
      <c r="U76">
        <f t="shared" si="11"/>
        <v>3767</v>
      </c>
    </row>
    <row r="77" spans="1:21">
      <c r="A77" s="5">
        <f t="shared" si="12"/>
        <v>46098</v>
      </c>
      <c r="B77">
        <f>SUMIFS('Demand Projection'!$D$2:$D$169,'Demand Projection'!$B$2:$B$169,B$1,'Demand Projection'!$C$2:$C$169,$A77)</f>
        <v>0</v>
      </c>
      <c r="C77">
        <f>SUMIFS('Demand Projection'!$D$2:$D$169,'Demand Projection'!$B$2:$B$169,C$1,'Demand Projection'!$C$2:$C$169,$A77)</f>
        <v>0</v>
      </c>
      <c r="D77">
        <f>SUMIFS('Demand Projection'!$D$2:$D$169,'Demand Projection'!$B$2:$B$169,D$1,'Demand Projection'!$C$2:$C$169,$A77)</f>
        <v>0</v>
      </c>
      <c r="E77">
        <f>SUMIFS('Demand Projection'!$D$2:$D$169,'Demand Projection'!$B$2:$B$169,E$1,'Demand Projection'!$C$2:$C$169,$A77)</f>
        <v>949</v>
      </c>
      <c r="F77">
        <f>SUMIFS('Demand Projection'!$D$2:$D$169,'Demand Projection'!$B$2:$B$169,F$1,'Demand Projection'!$C$2:$C$169,$A77)</f>
        <v>0</v>
      </c>
      <c r="G77" cm="1">
        <f t="array" ref="G77">Q76+IF(ROW()-3&lt;2,0,INDEX(L:L,ROW()-3))</f>
        <v>1231</v>
      </c>
      <c r="H77" cm="1">
        <f t="array" ref="H77">R76+IF(ROW()-3&lt;2,0,INDEX(M:M,ROW()-3))</f>
        <v>22088</v>
      </c>
      <c r="I77" cm="1">
        <f t="array" ref="I77">S76+IF(ROW()-3&lt;2,0,INDEX(N:N,ROW()-3))</f>
        <v>4188</v>
      </c>
      <c r="J77" cm="1">
        <f t="array" ref="J77">T76+IF(ROW()-3&lt;2,0,INDEX(O:O,ROW()-3))</f>
        <v>6381</v>
      </c>
      <c r="K77" cm="1">
        <f t="array" ref="K77">U76+IF(ROW()-3&lt;2,0,INDEX(P:P,ROW()-3))</f>
        <v>3767</v>
      </c>
      <c r="L77">
        <f>IF(Q77&lt;_xlfn.XLOOKUP(L$1,Capacity!$D$3:$D$7,Capacity!$E$3:$E$7),_xlfn.XLOOKUP(L$1,Capacity!$D$3:$D$7,Capacity!$F$3:$F$7)-Q77,0)</f>
        <v>0</v>
      </c>
      <c r="M77">
        <f>IF(R77&lt;_xlfn.XLOOKUP(M$1,Capacity!$D$3:$D$7,Capacity!$E$3:$E$7),_xlfn.XLOOKUP(M$1,Capacity!$D$3:$D$7,Capacity!$F$3:$F$7)-R77,0)</f>
        <v>0</v>
      </c>
      <c r="N77">
        <f>IF(S77&lt;_xlfn.XLOOKUP(N$1,Capacity!$D$3:$D$7,Capacity!$E$3:$E$7),_xlfn.XLOOKUP(N$1,Capacity!$D$3:$D$7,Capacity!$F$3:$F$7)-S77,0)</f>
        <v>0</v>
      </c>
      <c r="O77">
        <f>IF(T77&lt;_xlfn.XLOOKUP(O$1,Capacity!$D$3:$D$7,Capacity!$E$3:$E$7),_xlfn.XLOOKUP(O$1,Capacity!$D$3:$D$7,Capacity!$F$3:$F$7)-T77,0)</f>
        <v>0</v>
      </c>
      <c r="P77">
        <f>IF(U77&lt;_xlfn.XLOOKUP(P$1,Capacity!$D$3:$D$7,Capacity!$E$3:$E$7),_xlfn.XLOOKUP(P$1,Capacity!$D$3:$D$7,Capacity!$F$3:$F$7)-U77,0)</f>
        <v>0</v>
      </c>
      <c r="Q77">
        <f t="shared" si="7"/>
        <v>1231</v>
      </c>
      <c r="R77">
        <f t="shared" si="8"/>
        <v>22088</v>
      </c>
      <c r="S77">
        <f t="shared" si="9"/>
        <v>4188</v>
      </c>
      <c r="T77">
        <f t="shared" si="10"/>
        <v>5432</v>
      </c>
      <c r="U77">
        <f t="shared" si="11"/>
        <v>3767</v>
      </c>
    </row>
    <row r="78" spans="1:21">
      <c r="A78" s="5">
        <f t="shared" si="12"/>
        <v>46099</v>
      </c>
      <c r="B78">
        <f>SUMIFS('Demand Projection'!$D$2:$D$169,'Demand Projection'!$B$2:$B$169,B$1,'Demand Projection'!$C$2:$C$169,$A78)</f>
        <v>0</v>
      </c>
      <c r="C78">
        <f>SUMIFS('Demand Projection'!$D$2:$D$169,'Demand Projection'!$B$2:$B$169,C$1,'Demand Projection'!$C$2:$C$169,$A78)</f>
        <v>0</v>
      </c>
      <c r="D78">
        <f>SUMIFS('Demand Projection'!$D$2:$D$169,'Demand Projection'!$B$2:$B$169,D$1,'Demand Projection'!$C$2:$C$169,$A78)</f>
        <v>0</v>
      </c>
      <c r="E78">
        <f>SUMIFS('Demand Projection'!$D$2:$D$169,'Demand Projection'!$B$2:$B$169,E$1,'Demand Projection'!$C$2:$C$169,$A78)</f>
        <v>0</v>
      </c>
      <c r="F78">
        <f>SUMIFS('Demand Projection'!$D$2:$D$169,'Demand Projection'!$B$2:$B$169,F$1,'Demand Projection'!$C$2:$C$169,$A78)</f>
        <v>0</v>
      </c>
      <c r="G78" cm="1">
        <f t="array" ref="G78">Q77+IF(ROW()-3&lt;2,0,INDEX(L:L,ROW()-3))</f>
        <v>1231</v>
      </c>
      <c r="H78" cm="1">
        <f t="array" ref="H78">R77+IF(ROW()-3&lt;2,0,INDEX(M:M,ROW()-3))</f>
        <v>22088</v>
      </c>
      <c r="I78" cm="1">
        <f t="array" ref="I78">S77+IF(ROW()-3&lt;2,0,INDEX(N:N,ROW()-3))</f>
        <v>4188</v>
      </c>
      <c r="J78" cm="1">
        <f t="array" ref="J78">T77+IF(ROW()-3&lt;2,0,INDEX(O:O,ROW()-3))</f>
        <v>5432</v>
      </c>
      <c r="K78" cm="1">
        <f t="array" ref="K78">U77+IF(ROW()-3&lt;2,0,INDEX(P:P,ROW()-3))</f>
        <v>3767</v>
      </c>
      <c r="L78">
        <f>IF(Q78&lt;_xlfn.XLOOKUP(L$1,Capacity!$D$3:$D$7,Capacity!$E$3:$E$7),_xlfn.XLOOKUP(L$1,Capacity!$D$3:$D$7,Capacity!$F$3:$F$7)-Q78,0)</f>
        <v>0</v>
      </c>
      <c r="M78">
        <f>IF(R78&lt;_xlfn.XLOOKUP(M$1,Capacity!$D$3:$D$7,Capacity!$E$3:$E$7),_xlfn.XLOOKUP(M$1,Capacity!$D$3:$D$7,Capacity!$F$3:$F$7)-R78,0)</f>
        <v>0</v>
      </c>
      <c r="N78">
        <f>IF(S78&lt;_xlfn.XLOOKUP(N$1,Capacity!$D$3:$D$7,Capacity!$E$3:$E$7),_xlfn.XLOOKUP(N$1,Capacity!$D$3:$D$7,Capacity!$F$3:$F$7)-S78,0)</f>
        <v>0</v>
      </c>
      <c r="O78">
        <f>IF(T78&lt;_xlfn.XLOOKUP(O$1,Capacity!$D$3:$D$7,Capacity!$E$3:$E$7),_xlfn.XLOOKUP(O$1,Capacity!$D$3:$D$7,Capacity!$F$3:$F$7)-T78,0)</f>
        <v>0</v>
      </c>
      <c r="P78">
        <f>IF(U78&lt;_xlfn.XLOOKUP(P$1,Capacity!$D$3:$D$7,Capacity!$E$3:$E$7),_xlfn.XLOOKUP(P$1,Capacity!$D$3:$D$7,Capacity!$F$3:$F$7)-U78,0)</f>
        <v>0</v>
      </c>
      <c r="Q78">
        <f t="shared" si="7"/>
        <v>1231</v>
      </c>
      <c r="R78">
        <f t="shared" si="8"/>
        <v>22088</v>
      </c>
      <c r="S78">
        <f t="shared" si="9"/>
        <v>4188</v>
      </c>
      <c r="T78">
        <f t="shared" si="10"/>
        <v>5432</v>
      </c>
      <c r="U78">
        <f t="shared" si="11"/>
        <v>3767</v>
      </c>
    </row>
    <row r="79" spans="1:21">
      <c r="A79" s="5">
        <f t="shared" si="12"/>
        <v>46100</v>
      </c>
      <c r="B79">
        <f>SUMIFS('Demand Projection'!$D$2:$D$169,'Demand Projection'!$B$2:$B$169,B$1,'Demand Projection'!$C$2:$C$169,$A79)</f>
        <v>0</v>
      </c>
      <c r="C79">
        <f>SUMIFS('Demand Projection'!$D$2:$D$169,'Demand Projection'!$B$2:$B$169,C$1,'Demand Projection'!$C$2:$C$169,$A79)</f>
        <v>0</v>
      </c>
      <c r="D79">
        <f>SUMIFS('Demand Projection'!$D$2:$D$169,'Demand Projection'!$B$2:$B$169,D$1,'Demand Projection'!$C$2:$C$169,$A79)</f>
        <v>0</v>
      </c>
      <c r="E79">
        <f>SUMIFS('Demand Projection'!$D$2:$D$169,'Demand Projection'!$B$2:$B$169,E$1,'Demand Projection'!$C$2:$C$169,$A79)</f>
        <v>0</v>
      </c>
      <c r="F79">
        <f>SUMIFS('Demand Projection'!$D$2:$D$169,'Demand Projection'!$B$2:$B$169,F$1,'Demand Projection'!$C$2:$C$169,$A79)</f>
        <v>0</v>
      </c>
      <c r="G79" cm="1">
        <f t="array" ref="G79">Q78+IF(ROW()-3&lt;2,0,INDEX(L:L,ROW()-3))</f>
        <v>1231</v>
      </c>
      <c r="H79" cm="1">
        <f t="array" ref="H79">R78+IF(ROW()-3&lt;2,0,INDEX(M:M,ROW()-3))</f>
        <v>22088</v>
      </c>
      <c r="I79" cm="1">
        <f t="array" ref="I79">S78+IF(ROW()-3&lt;2,0,INDEX(N:N,ROW()-3))</f>
        <v>4188</v>
      </c>
      <c r="J79" cm="1">
        <f t="array" ref="J79">T78+IF(ROW()-3&lt;2,0,INDEX(O:O,ROW()-3))</f>
        <v>5432</v>
      </c>
      <c r="K79" cm="1">
        <f t="array" ref="K79">U78+IF(ROW()-3&lt;2,0,INDEX(P:P,ROW()-3))</f>
        <v>3767</v>
      </c>
      <c r="L79">
        <f>IF(Q79&lt;_xlfn.XLOOKUP(L$1,Capacity!$D$3:$D$7,Capacity!$E$3:$E$7),_xlfn.XLOOKUP(L$1,Capacity!$D$3:$D$7,Capacity!$F$3:$F$7)-Q79,0)</f>
        <v>0</v>
      </c>
      <c r="M79">
        <f>IF(R79&lt;_xlfn.XLOOKUP(M$1,Capacity!$D$3:$D$7,Capacity!$E$3:$E$7),_xlfn.XLOOKUP(M$1,Capacity!$D$3:$D$7,Capacity!$F$3:$F$7)-R79,0)</f>
        <v>0</v>
      </c>
      <c r="N79">
        <f>IF(S79&lt;_xlfn.XLOOKUP(N$1,Capacity!$D$3:$D$7,Capacity!$E$3:$E$7),_xlfn.XLOOKUP(N$1,Capacity!$D$3:$D$7,Capacity!$F$3:$F$7)-S79,0)</f>
        <v>0</v>
      </c>
      <c r="O79">
        <f>IF(T79&lt;_xlfn.XLOOKUP(O$1,Capacity!$D$3:$D$7,Capacity!$E$3:$E$7),_xlfn.XLOOKUP(O$1,Capacity!$D$3:$D$7,Capacity!$F$3:$F$7)-T79,0)</f>
        <v>0</v>
      </c>
      <c r="P79">
        <f>IF(U79&lt;_xlfn.XLOOKUP(P$1,Capacity!$D$3:$D$7,Capacity!$E$3:$E$7),_xlfn.XLOOKUP(P$1,Capacity!$D$3:$D$7,Capacity!$F$3:$F$7)-U79,0)</f>
        <v>0</v>
      </c>
      <c r="Q79">
        <f t="shared" si="7"/>
        <v>1231</v>
      </c>
      <c r="R79">
        <f t="shared" si="8"/>
        <v>22088</v>
      </c>
      <c r="S79">
        <f t="shared" si="9"/>
        <v>4188</v>
      </c>
      <c r="T79">
        <f t="shared" si="10"/>
        <v>5432</v>
      </c>
      <c r="U79">
        <f t="shared" si="11"/>
        <v>3767</v>
      </c>
    </row>
    <row r="80" spans="1:21">
      <c r="A80" s="5">
        <f t="shared" si="12"/>
        <v>46101</v>
      </c>
      <c r="B80">
        <f>SUMIFS('Demand Projection'!$D$2:$D$169,'Demand Projection'!$B$2:$B$169,B$1,'Demand Projection'!$C$2:$C$169,$A80)</f>
        <v>0</v>
      </c>
      <c r="C80">
        <f>SUMIFS('Demand Projection'!$D$2:$D$169,'Demand Projection'!$B$2:$B$169,C$1,'Demand Projection'!$C$2:$C$169,$A80)</f>
        <v>0</v>
      </c>
      <c r="D80">
        <f>SUMIFS('Demand Projection'!$D$2:$D$169,'Demand Projection'!$B$2:$B$169,D$1,'Demand Projection'!$C$2:$C$169,$A80)</f>
        <v>873</v>
      </c>
      <c r="E80">
        <f>SUMIFS('Demand Projection'!$D$2:$D$169,'Demand Projection'!$B$2:$B$169,E$1,'Demand Projection'!$C$2:$C$169,$A80)</f>
        <v>0</v>
      </c>
      <c r="F80">
        <f>SUMIFS('Demand Projection'!$D$2:$D$169,'Demand Projection'!$B$2:$B$169,F$1,'Demand Projection'!$C$2:$C$169,$A80)</f>
        <v>0</v>
      </c>
      <c r="G80" cm="1">
        <f t="array" ref="G80">Q79+IF(ROW()-3&lt;2,0,INDEX(L:L,ROW()-3))</f>
        <v>1231</v>
      </c>
      <c r="H80" cm="1">
        <f t="array" ref="H80">R79+IF(ROW()-3&lt;2,0,INDEX(M:M,ROW()-3))</f>
        <v>22088</v>
      </c>
      <c r="I80" cm="1">
        <f t="array" ref="I80">S79+IF(ROW()-3&lt;2,0,INDEX(N:N,ROW()-3))</f>
        <v>4188</v>
      </c>
      <c r="J80" cm="1">
        <f t="array" ref="J80">T79+IF(ROW()-3&lt;2,0,INDEX(O:O,ROW()-3))</f>
        <v>5432</v>
      </c>
      <c r="K80" cm="1">
        <f t="array" ref="K80">U79+IF(ROW()-3&lt;2,0,INDEX(P:P,ROW()-3))</f>
        <v>3767</v>
      </c>
      <c r="L80">
        <f>IF(Q80&lt;_xlfn.XLOOKUP(L$1,Capacity!$D$3:$D$7,Capacity!$E$3:$E$7),_xlfn.XLOOKUP(L$1,Capacity!$D$3:$D$7,Capacity!$F$3:$F$7)-Q80,0)</f>
        <v>0</v>
      </c>
      <c r="M80">
        <f>IF(R80&lt;_xlfn.XLOOKUP(M$1,Capacity!$D$3:$D$7,Capacity!$E$3:$E$7),_xlfn.XLOOKUP(M$1,Capacity!$D$3:$D$7,Capacity!$F$3:$F$7)-R80,0)</f>
        <v>0</v>
      </c>
      <c r="N80">
        <f>IF(S80&lt;_xlfn.XLOOKUP(N$1,Capacity!$D$3:$D$7,Capacity!$E$3:$E$7),_xlfn.XLOOKUP(N$1,Capacity!$D$3:$D$7,Capacity!$F$3:$F$7)-S80,0)</f>
        <v>0</v>
      </c>
      <c r="O80">
        <f>IF(T80&lt;_xlfn.XLOOKUP(O$1,Capacity!$D$3:$D$7,Capacity!$E$3:$E$7),_xlfn.XLOOKUP(O$1,Capacity!$D$3:$D$7,Capacity!$F$3:$F$7)-T80,0)</f>
        <v>0</v>
      </c>
      <c r="P80">
        <f>IF(U80&lt;_xlfn.XLOOKUP(P$1,Capacity!$D$3:$D$7,Capacity!$E$3:$E$7),_xlfn.XLOOKUP(P$1,Capacity!$D$3:$D$7,Capacity!$F$3:$F$7)-U80,0)</f>
        <v>0</v>
      </c>
      <c r="Q80">
        <f t="shared" si="7"/>
        <v>1231</v>
      </c>
      <c r="R80">
        <f t="shared" si="8"/>
        <v>22088</v>
      </c>
      <c r="S80">
        <f t="shared" si="9"/>
        <v>3315</v>
      </c>
      <c r="T80">
        <f t="shared" si="10"/>
        <v>5432</v>
      </c>
      <c r="U80">
        <f t="shared" si="11"/>
        <v>3767</v>
      </c>
    </row>
    <row r="81" spans="1:21">
      <c r="A81" s="5">
        <f t="shared" si="12"/>
        <v>46102</v>
      </c>
      <c r="B81">
        <f>SUMIFS('Demand Projection'!$D$2:$D$169,'Demand Projection'!$B$2:$B$169,B$1,'Demand Projection'!$C$2:$C$169,$A81)</f>
        <v>0</v>
      </c>
      <c r="C81">
        <f>SUMIFS('Demand Projection'!$D$2:$D$169,'Demand Projection'!$B$2:$B$169,C$1,'Demand Projection'!$C$2:$C$169,$A81)</f>
        <v>0</v>
      </c>
      <c r="D81">
        <f>SUMIFS('Demand Projection'!$D$2:$D$169,'Demand Projection'!$B$2:$B$169,D$1,'Demand Projection'!$C$2:$C$169,$A81)</f>
        <v>0</v>
      </c>
      <c r="E81">
        <f>SUMIFS('Demand Projection'!$D$2:$D$169,'Demand Projection'!$B$2:$B$169,E$1,'Demand Projection'!$C$2:$C$169,$A81)</f>
        <v>0</v>
      </c>
      <c r="F81">
        <f>SUMIFS('Demand Projection'!$D$2:$D$169,'Demand Projection'!$B$2:$B$169,F$1,'Demand Projection'!$C$2:$C$169,$A81)</f>
        <v>0</v>
      </c>
      <c r="G81" cm="1">
        <f t="array" ref="G81">Q80+IF(ROW()-3&lt;2,0,INDEX(L:L,ROW()-3))</f>
        <v>1231</v>
      </c>
      <c r="H81" cm="1">
        <f t="array" ref="H81">R80+IF(ROW()-3&lt;2,0,INDEX(M:M,ROW()-3))</f>
        <v>22088</v>
      </c>
      <c r="I81" cm="1">
        <f t="array" ref="I81">S80+IF(ROW()-3&lt;2,0,INDEX(N:N,ROW()-3))</f>
        <v>3315</v>
      </c>
      <c r="J81" cm="1">
        <f t="array" ref="J81">T80+IF(ROW()-3&lt;2,0,INDEX(O:O,ROW()-3))</f>
        <v>5432</v>
      </c>
      <c r="K81" cm="1">
        <f t="array" ref="K81">U80+IF(ROW()-3&lt;2,0,INDEX(P:P,ROW()-3))</f>
        <v>3767</v>
      </c>
      <c r="L81">
        <f>IF(Q81&lt;_xlfn.XLOOKUP(L$1,Capacity!$D$3:$D$7,Capacity!$E$3:$E$7),_xlfn.XLOOKUP(L$1,Capacity!$D$3:$D$7,Capacity!$F$3:$F$7)-Q81,0)</f>
        <v>0</v>
      </c>
      <c r="M81">
        <f>IF(R81&lt;_xlfn.XLOOKUP(M$1,Capacity!$D$3:$D$7,Capacity!$E$3:$E$7),_xlfn.XLOOKUP(M$1,Capacity!$D$3:$D$7,Capacity!$F$3:$F$7)-R81,0)</f>
        <v>0</v>
      </c>
      <c r="N81">
        <f>IF(S81&lt;_xlfn.XLOOKUP(N$1,Capacity!$D$3:$D$7,Capacity!$E$3:$E$7),_xlfn.XLOOKUP(N$1,Capacity!$D$3:$D$7,Capacity!$F$3:$F$7)-S81,0)</f>
        <v>0</v>
      </c>
      <c r="O81">
        <f>IF(T81&lt;_xlfn.XLOOKUP(O$1,Capacity!$D$3:$D$7,Capacity!$E$3:$E$7),_xlfn.XLOOKUP(O$1,Capacity!$D$3:$D$7,Capacity!$F$3:$F$7)-T81,0)</f>
        <v>0</v>
      </c>
      <c r="P81">
        <f>IF(U81&lt;_xlfn.XLOOKUP(P$1,Capacity!$D$3:$D$7,Capacity!$E$3:$E$7),_xlfn.XLOOKUP(P$1,Capacity!$D$3:$D$7,Capacity!$F$3:$F$7)-U81,0)</f>
        <v>0</v>
      </c>
      <c r="Q81">
        <f t="shared" si="7"/>
        <v>1231</v>
      </c>
      <c r="R81">
        <f t="shared" si="8"/>
        <v>22088</v>
      </c>
      <c r="S81">
        <f t="shared" si="9"/>
        <v>3315</v>
      </c>
      <c r="T81">
        <f t="shared" si="10"/>
        <v>5432</v>
      </c>
      <c r="U81">
        <f t="shared" si="11"/>
        <v>3767</v>
      </c>
    </row>
    <row r="82" spans="1:21">
      <c r="A82" s="5">
        <f t="shared" si="12"/>
        <v>46103</v>
      </c>
      <c r="B82">
        <f>SUMIFS('Demand Projection'!$D$2:$D$169,'Demand Projection'!$B$2:$B$169,B$1,'Demand Projection'!$C$2:$C$169,$A82)</f>
        <v>0</v>
      </c>
      <c r="C82">
        <f>SUMIFS('Demand Projection'!$D$2:$D$169,'Demand Projection'!$B$2:$B$169,C$1,'Demand Projection'!$C$2:$C$169,$A82)</f>
        <v>0</v>
      </c>
      <c r="D82">
        <f>SUMIFS('Demand Projection'!$D$2:$D$169,'Demand Projection'!$B$2:$B$169,D$1,'Demand Projection'!$C$2:$C$169,$A82)</f>
        <v>0</v>
      </c>
      <c r="E82">
        <f>SUMIFS('Demand Projection'!$D$2:$D$169,'Demand Projection'!$B$2:$B$169,E$1,'Demand Projection'!$C$2:$C$169,$A82)</f>
        <v>0</v>
      </c>
      <c r="F82">
        <f>SUMIFS('Demand Projection'!$D$2:$D$169,'Demand Projection'!$B$2:$B$169,F$1,'Demand Projection'!$C$2:$C$169,$A82)</f>
        <v>0</v>
      </c>
      <c r="G82" cm="1">
        <f t="array" ref="G82">Q81+IF(ROW()-3&lt;2,0,INDEX(L:L,ROW()-3))</f>
        <v>1231</v>
      </c>
      <c r="H82" cm="1">
        <f t="array" ref="H82">R81+IF(ROW()-3&lt;2,0,INDEX(M:M,ROW()-3))</f>
        <v>22088</v>
      </c>
      <c r="I82" cm="1">
        <f t="array" ref="I82">S81+IF(ROW()-3&lt;2,0,INDEX(N:N,ROW()-3))</f>
        <v>3315</v>
      </c>
      <c r="J82" cm="1">
        <f t="array" ref="J82">T81+IF(ROW()-3&lt;2,0,INDEX(O:O,ROW()-3))</f>
        <v>5432</v>
      </c>
      <c r="K82" cm="1">
        <f t="array" ref="K82">U81+IF(ROW()-3&lt;2,0,INDEX(P:P,ROW()-3))</f>
        <v>3767</v>
      </c>
      <c r="L82">
        <f>IF(Q82&lt;_xlfn.XLOOKUP(L$1,Capacity!$D$3:$D$7,Capacity!$E$3:$E$7),_xlfn.XLOOKUP(L$1,Capacity!$D$3:$D$7,Capacity!$F$3:$F$7)-Q82,0)</f>
        <v>0</v>
      </c>
      <c r="M82">
        <f>IF(R82&lt;_xlfn.XLOOKUP(M$1,Capacity!$D$3:$D$7,Capacity!$E$3:$E$7),_xlfn.XLOOKUP(M$1,Capacity!$D$3:$D$7,Capacity!$F$3:$F$7)-R82,0)</f>
        <v>0</v>
      </c>
      <c r="N82">
        <f>IF(S82&lt;_xlfn.XLOOKUP(N$1,Capacity!$D$3:$D$7,Capacity!$E$3:$E$7),_xlfn.XLOOKUP(N$1,Capacity!$D$3:$D$7,Capacity!$F$3:$F$7)-S82,0)</f>
        <v>0</v>
      </c>
      <c r="O82">
        <f>IF(T82&lt;_xlfn.XLOOKUP(O$1,Capacity!$D$3:$D$7,Capacity!$E$3:$E$7),_xlfn.XLOOKUP(O$1,Capacity!$D$3:$D$7,Capacity!$F$3:$F$7)-T82,0)</f>
        <v>0</v>
      </c>
      <c r="P82">
        <f>IF(U82&lt;_xlfn.XLOOKUP(P$1,Capacity!$D$3:$D$7,Capacity!$E$3:$E$7),_xlfn.XLOOKUP(P$1,Capacity!$D$3:$D$7,Capacity!$F$3:$F$7)-U82,0)</f>
        <v>0</v>
      </c>
      <c r="Q82">
        <f t="shared" si="7"/>
        <v>1231</v>
      </c>
      <c r="R82">
        <f t="shared" si="8"/>
        <v>22088</v>
      </c>
      <c r="S82">
        <f t="shared" si="9"/>
        <v>3315</v>
      </c>
      <c r="T82">
        <f t="shared" si="10"/>
        <v>5432</v>
      </c>
      <c r="U82">
        <f t="shared" si="11"/>
        <v>3767</v>
      </c>
    </row>
    <row r="83" spans="1:21">
      <c r="A83" s="5">
        <f t="shared" si="12"/>
        <v>46104</v>
      </c>
      <c r="B83">
        <f>SUMIFS('Demand Projection'!$D$2:$D$169,'Demand Projection'!$B$2:$B$169,B$1,'Demand Projection'!$C$2:$C$169,$A83)</f>
        <v>0</v>
      </c>
      <c r="C83">
        <f>SUMIFS('Demand Projection'!$D$2:$D$169,'Demand Projection'!$B$2:$B$169,C$1,'Demand Projection'!$C$2:$C$169,$A83)</f>
        <v>0</v>
      </c>
      <c r="D83">
        <f>SUMIFS('Demand Projection'!$D$2:$D$169,'Demand Projection'!$B$2:$B$169,D$1,'Demand Projection'!$C$2:$C$169,$A83)</f>
        <v>0</v>
      </c>
      <c r="E83">
        <f>SUMIFS('Demand Projection'!$D$2:$D$169,'Demand Projection'!$B$2:$B$169,E$1,'Demand Projection'!$C$2:$C$169,$A83)</f>
        <v>0</v>
      </c>
      <c r="F83">
        <f>SUMIFS('Demand Projection'!$D$2:$D$169,'Demand Projection'!$B$2:$B$169,F$1,'Demand Projection'!$C$2:$C$169,$A83)</f>
        <v>0</v>
      </c>
      <c r="G83" cm="1">
        <f t="array" ref="G83">Q82+IF(ROW()-3&lt;2,0,INDEX(L:L,ROW()-3))</f>
        <v>1231</v>
      </c>
      <c r="H83" cm="1">
        <f t="array" ref="H83">R82+IF(ROW()-3&lt;2,0,INDEX(M:M,ROW()-3))</f>
        <v>22088</v>
      </c>
      <c r="I83" cm="1">
        <f t="array" ref="I83">S82+IF(ROW()-3&lt;2,0,INDEX(N:N,ROW()-3))</f>
        <v>3315</v>
      </c>
      <c r="J83" cm="1">
        <f t="array" ref="J83">T82+IF(ROW()-3&lt;2,0,INDEX(O:O,ROW()-3))</f>
        <v>5432</v>
      </c>
      <c r="K83" cm="1">
        <f t="array" ref="K83">U82+IF(ROW()-3&lt;2,0,INDEX(P:P,ROW()-3))</f>
        <v>3767</v>
      </c>
      <c r="L83">
        <f>IF(Q83&lt;_xlfn.XLOOKUP(L$1,Capacity!$D$3:$D$7,Capacity!$E$3:$E$7),_xlfn.XLOOKUP(L$1,Capacity!$D$3:$D$7,Capacity!$F$3:$F$7)-Q83,0)</f>
        <v>0</v>
      </c>
      <c r="M83">
        <f>IF(R83&lt;_xlfn.XLOOKUP(M$1,Capacity!$D$3:$D$7,Capacity!$E$3:$E$7),_xlfn.XLOOKUP(M$1,Capacity!$D$3:$D$7,Capacity!$F$3:$F$7)-R83,0)</f>
        <v>0</v>
      </c>
      <c r="N83">
        <f>IF(S83&lt;_xlfn.XLOOKUP(N$1,Capacity!$D$3:$D$7,Capacity!$E$3:$E$7),_xlfn.XLOOKUP(N$1,Capacity!$D$3:$D$7,Capacity!$F$3:$F$7)-S83,0)</f>
        <v>0</v>
      </c>
      <c r="O83">
        <f>IF(T83&lt;_xlfn.XLOOKUP(O$1,Capacity!$D$3:$D$7,Capacity!$E$3:$E$7),_xlfn.XLOOKUP(O$1,Capacity!$D$3:$D$7,Capacity!$F$3:$F$7)-T83,0)</f>
        <v>0</v>
      </c>
      <c r="P83">
        <f>IF(U83&lt;_xlfn.XLOOKUP(P$1,Capacity!$D$3:$D$7,Capacity!$E$3:$E$7),_xlfn.XLOOKUP(P$1,Capacity!$D$3:$D$7,Capacity!$F$3:$F$7)-U83,0)</f>
        <v>0</v>
      </c>
      <c r="Q83">
        <f t="shared" si="7"/>
        <v>1231</v>
      </c>
      <c r="R83">
        <f t="shared" si="8"/>
        <v>22088</v>
      </c>
      <c r="S83">
        <f t="shared" si="9"/>
        <v>3315</v>
      </c>
      <c r="T83">
        <f t="shared" si="10"/>
        <v>5432</v>
      </c>
      <c r="U83">
        <f t="shared" si="11"/>
        <v>3767</v>
      </c>
    </row>
    <row r="84" spans="1:21">
      <c r="A84" s="5">
        <f t="shared" si="12"/>
        <v>46105</v>
      </c>
      <c r="B84">
        <f>SUMIFS('Demand Projection'!$D$2:$D$169,'Demand Projection'!$B$2:$B$169,B$1,'Demand Projection'!$C$2:$C$169,$A84)</f>
        <v>1092</v>
      </c>
      <c r="C84">
        <f>SUMIFS('Demand Projection'!$D$2:$D$169,'Demand Projection'!$B$2:$B$169,C$1,'Demand Projection'!$C$2:$C$169,$A84)</f>
        <v>0</v>
      </c>
      <c r="D84">
        <f>SUMIFS('Demand Projection'!$D$2:$D$169,'Demand Projection'!$B$2:$B$169,D$1,'Demand Projection'!$C$2:$C$169,$A84)</f>
        <v>0</v>
      </c>
      <c r="E84">
        <f>SUMIFS('Demand Projection'!$D$2:$D$169,'Demand Projection'!$B$2:$B$169,E$1,'Demand Projection'!$C$2:$C$169,$A84)</f>
        <v>0</v>
      </c>
      <c r="F84">
        <f>SUMIFS('Demand Projection'!$D$2:$D$169,'Demand Projection'!$B$2:$B$169,F$1,'Demand Projection'!$C$2:$C$169,$A84)</f>
        <v>0</v>
      </c>
      <c r="G84" cm="1">
        <f t="array" ref="G84">Q83+IF(ROW()-3&lt;2,0,INDEX(L:L,ROW()-3))</f>
        <v>1231</v>
      </c>
      <c r="H84" cm="1">
        <f t="array" ref="H84">R83+IF(ROW()-3&lt;2,0,INDEX(M:M,ROW()-3))</f>
        <v>22088</v>
      </c>
      <c r="I84" cm="1">
        <f t="array" ref="I84">S83+IF(ROW()-3&lt;2,0,INDEX(N:N,ROW()-3))</f>
        <v>3315</v>
      </c>
      <c r="J84" cm="1">
        <f t="array" ref="J84">T83+IF(ROW()-3&lt;2,0,INDEX(O:O,ROW()-3))</f>
        <v>5432</v>
      </c>
      <c r="K84" cm="1">
        <f t="array" ref="K84">U83+IF(ROW()-3&lt;2,0,INDEX(P:P,ROW()-3))</f>
        <v>3767</v>
      </c>
      <c r="L84">
        <f>IF(Q84&lt;_xlfn.XLOOKUP(L$1,Capacity!$D$3:$D$7,Capacity!$E$3:$E$7),_xlfn.XLOOKUP(L$1,Capacity!$D$3:$D$7,Capacity!$F$3:$F$7)-Q84,0)</f>
        <v>2493</v>
      </c>
      <c r="M84">
        <f>IF(R84&lt;_xlfn.XLOOKUP(M$1,Capacity!$D$3:$D$7,Capacity!$E$3:$E$7),_xlfn.XLOOKUP(M$1,Capacity!$D$3:$D$7,Capacity!$F$3:$F$7)-R84,0)</f>
        <v>0</v>
      </c>
      <c r="N84">
        <f>IF(S84&lt;_xlfn.XLOOKUP(N$1,Capacity!$D$3:$D$7,Capacity!$E$3:$E$7),_xlfn.XLOOKUP(N$1,Capacity!$D$3:$D$7,Capacity!$F$3:$F$7)-S84,0)</f>
        <v>0</v>
      </c>
      <c r="O84">
        <f>IF(T84&lt;_xlfn.XLOOKUP(O$1,Capacity!$D$3:$D$7,Capacity!$E$3:$E$7),_xlfn.XLOOKUP(O$1,Capacity!$D$3:$D$7,Capacity!$F$3:$F$7)-T84,0)</f>
        <v>0</v>
      </c>
      <c r="P84">
        <f>IF(U84&lt;_xlfn.XLOOKUP(P$1,Capacity!$D$3:$D$7,Capacity!$E$3:$E$7),_xlfn.XLOOKUP(P$1,Capacity!$D$3:$D$7,Capacity!$F$3:$F$7)-U84,0)</f>
        <v>0</v>
      </c>
      <c r="Q84">
        <f t="shared" si="7"/>
        <v>139</v>
      </c>
      <c r="R84">
        <f t="shared" si="8"/>
        <v>22088</v>
      </c>
      <c r="S84">
        <f t="shared" si="9"/>
        <v>3315</v>
      </c>
      <c r="T84">
        <f t="shared" si="10"/>
        <v>5432</v>
      </c>
      <c r="U84">
        <f t="shared" si="11"/>
        <v>3767</v>
      </c>
    </row>
    <row r="85" spans="1:21">
      <c r="A85" s="5">
        <f t="shared" si="12"/>
        <v>46106</v>
      </c>
      <c r="B85">
        <f>SUMIFS('Demand Projection'!$D$2:$D$169,'Demand Projection'!$B$2:$B$169,B$1,'Demand Projection'!$C$2:$C$169,$A85)</f>
        <v>0</v>
      </c>
      <c r="C85">
        <f>SUMIFS('Demand Projection'!$D$2:$D$169,'Demand Projection'!$B$2:$B$169,C$1,'Demand Projection'!$C$2:$C$169,$A85)</f>
        <v>0</v>
      </c>
      <c r="D85">
        <f>SUMIFS('Demand Projection'!$D$2:$D$169,'Demand Projection'!$B$2:$B$169,D$1,'Demand Projection'!$C$2:$C$169,$A85)</f>
        <v>0</v>
      </c>
      <c r="E85">
        <f>SUMIFS('Demand Projection'!$D$2:$D$169,'Demand Projection'!$B$2:$B$169,E$1,'Demand Projection'!$C$2:$C$169,$A85)</f>
        <v>0</v>
      </c>
      <c r="F85">
        <f>SUMIFS('Demand Projection'!$D$2:$D$169,'Demand Projection'!$B$2:$B$169,F$1,'Demand Projection'!$C$2:$C$169,$A85)</f>
        <v>0</v>
      </c>
      <c r="G85" cm="1">
        <f t="array" ref="G85">Q84+IF(ROW()-3&lt;2,0,INDEX(L:L,ROW()-3))</f>
        <v>139</v>
      </c>
      <c r="H85" cm="1">
        <f t="array" ref="H85">R84+IF(ROW()-3&lt;2,0,INDEX(M:M,ROW()-3))</f>
        <v>22088</v>
      </c>
      <c r="I85" cm="1">
        <f t="array" ref="I85">S84+IF(ROW()-3&lt;2,0,INDEX(N:N,ROW()-3))</f>
        <v>3315</v>
      </c>
      <c r="J85" cm="1">
        <f t="array" ref="J85">T84+IF(ROW()-3&lt;2,0,INDEX(O:O,ROW()-3))</f>
        <v>5432</v>
      </c>
      <c r="K85" cm="1">
        <f t="array" ref="K85">U84+IF(ROW()-3&lt;2,0,INDEX(P:P,ROW()-3))</f>
        <v>3767</v>
      </c>
      <c r="L85">
        <f>IF(Q85&lt;_xlfn.XLOOKUP(L$1,Capacity!$D$3:$D$7,Capacity!$E$3:$E$7),_xlfn.XLOOKUP(L$1,Capacity!$D$3:$D$7,Capacity!$F$3:$F$7)-Q85,0)</f>
        <v>2493</v>
      </c>
      <c r="M85">
        <f>IF(R85&lt;_xlfn.XLOOKUP(M$1,Capacity!$D$3:$D$7,Capacity!$E$3:$E$7),_xlfn.XLOOKUP(M$1,Capacity!$D$3:$D$7,Capacity!$F$3:$F$7)-R85,0)</f>
        <v>0</v>
      </c>
      <c r="N85">
        <f>IF(S85&lt;_xlfn.XLOOKUP(N$1,Capacity!$D$3:$D$7,Capacity!$E$3:$E$7),_xlfn.XLOOKUP(N$1,Capacity!$D$3:$D$7,Capacity!$F$3:$F$7)-S85,0)</f>
        <v>0</v>
      </c>
      <c r="O85">
        <f>IF(T85&lt;_xlfn.XLOOKUP(O$1,Capacity!$D$3:$D$7,Capacity!$E$3:$E$7),_xlfn.XLOOKUP(O$1,Capacity!$D$3:$D$7,Capacity!$F$3:$F$7)-T85,0)</f>
        <v>0</v>
      </c>
      <c r="P85">
        <f>IF(U85&lt;_xlfn.XLOOKUP(P$1,Capacity!$D$3:$D$7,Capacity!$E$3:$E$7),_xlfn.XLOOKUP(P$1,Capacity!$D$3:$D$7,Capacity!$F$3:$F$7)-U85,0)</f>
        <v>0</v>
      </c>
      <c r="Q85">
        <f t="shared" si="7"/>
        <v>139</v>
      </c>
      <c r="R85">
        <f t="shared" si="8"/>
        <v>22088</v>
      </c>
      <c r="S85">
        <f t="shared" si="9"/>
        <v>3315</v>
      </c>
      <c r="T85">
        <f t="shared" si="10"/>
        <v>5432</v>
      </c>
      <c r="U85">
        <f t="shared" si="11"/>
        <v>3767</v>
      </c>
    </row>
    <row r="86" spans="1:21">
      <c r="A86" s="5">
        <f t="shared" si="12"/>
        <v>46107</v>
      </c>
      <c r="B86">
        <f>SUMIFS('Demand Projection'!$D$2:$D$169,'Demand Projection'!$B$2:$B$169,B$1,'Demand Projection'!$C$2:$C$169,$A86)</f>
        <v>0</v>
      </c>
      <c r="C86">
        <f>SUMIFS('Demand Projection'!$D$2:$D$169,'Demand Projection'!$B$2:$B$169,C$1,'Demand Projection'!$C$2:$C$169,$A86)</f>
        <v>0</v>
      </c>
      <c r="D86">
        <f>SUMIFS('Demand Projection'!$D$2:$D$169,'Demand Projection'!$B$2:$B$169,D$1,'Demand Projection'!$C$2:$C$169,$A86)</f>
        <v>0</v>
      </c>
      <c r="E86">
        <f>SUMIFS('Demand Projection'!$D$2:$D$169,'Demand Projection'!$B$2:$B$169,E$1,'Demand Projection'!$C$2:$C$169,$A86)</f>
        <v>0</v>
      </c>
      <c r="F86">
        <f>SUMIFS('Demand Projection'!$D$2:$D$169,'Demand Projection'!$B$2:$B$169,F$1,'Demand Projection'!$C$2:$C$169,$A86)</f>
        <v>0</v>
      </c>
      <c r="G86" cm="1">
        <f t="array" ref="G86">Q85+IF(ROW()-3&lt;2,0,INDEX(L:L,ROW()-3))</f>
        <v>139</v>
      </c>
      <c r="H86" cm="1">
        <f t="array" ref="H86">R85+IF(ROW()-3&lt;2,0,INDEX(M:M,ROW()-3))</f>
        <v>22088</v>
      </c>
      <c r="I86" cm="1">
        <f t="array" ref="I86">S85+IF(ROW()-3&lt;2,0,INDEX(N:N,ROW()-3))</f>
        <v>3315</v>
      </c>
      <c r="J86" cm="1">
        <f t="array" ref="J86">T85+IF(ROW()-3&lt;2,0,INDEX(O:O,ROW()-3))</f>
        <v>5432</v>
      </c>
      <c r="K86" cm="1">
        <f t="array" ref="K86">U85+IF(ROW()-3&lt;2,0,INDEX(P:P,ROW()-3))</f>
        <v>3767</v>
      </c>
      <c r="L86">
        <f>IF(Q86&lt;_xlfn.XLOOKUP(L$1,Capacity!$D$3:$D$7,Capacity!$E$3:$E$7),_xlfn.XLOOKUP(L$1,Capacity!$D$3:$D$7,Capacity!$F$3:$F$7)-Q86,0)</f>
        <v>2493</v>
      </c>
      <c r="M86">
        <f>IF(R86&lt;_xlfn.XLOOKUP(M$1,Capacity!$D$3:$D$7,Capacity!$E$3:$E$7),_xlfn.XLOOKUP(M$1,Capacity!$D$3:$D$7,Capacity!$F$3:$F$7)-R86,0)</f>
        <v>0</v>
      </c>
      <c r="N86">
        <f>IF(S86&lt;_xlfn.XLOOKUP(N$1,Capacity!$D$3:$D$7,Capacity!$E$3:$E$7),_xlfn.XLOOKUP(N$1,Capacity!$D$3:$D$7,Capacity!$F$3:$F$7)-S86,0)</f>
        <v>0</v>
      </c>
      <c r="O86">
        <f>IF(T86&lt;_xlfn.XLOOKUP(O$1,Capacity!$D$3:$D$7,Capacity!$E$3:$E$7),_xlfn.XLOOKUP(O$1,Capacity!$D$3:$D$7,Capacity!$F$3:$F$7)-T86,0)</f>
        <v>0</v>
      </c>
      <c r="P86">
        <f>IF(U86&lt;_xlfn.XLOOKUP(P$1,Capacity!$D$3:$D$7,Capacity!$E$3:$E$7),_xlfn.XLOOKUP(P$1,Capacity!$D$3:$D$7,Capacity!$F$3:$F$7)-U86,0)</f>
        <v>0</v>
      </c>
      <c r="Q86">
        <f t="shared" si="7"/>
        <v>139</v>
      </c>
      <c r="R86">
        <f t="shared" si="8"/>
        <v>22088</v>
      </c>
      <c r="S86">
        <f t="shared" si="9"/>
        <v>3315</v>
      </c>
      <c r="T86">
        <f t="shared" si="10"/>
        <v>5432</v>
      </c>
      <c r="U86">
        <f t="shared" si="11"/>
        <v>3767</v>
      </c>
    </row>
    <row r="87" spans="1:21">
      <c r="A87" s="5">
        <f t="shared" si="12"/>
        <v>46108</v>
      </c>
      <c r="B87">
        <f>SUMIFS('Demand Projection'!$D$2:$D$169,'Demand Projection'!$B$2:$B$169,B$1,'Demand Projection'!$C$2:$C$169,$A87)</f>
        <v>0</v>
      </c>
      <c r="C87">
        <f>SUMIFS('Demand Projection'!$D$2:$D$169,'Demand Projection'!$B$2:$B$169,C$1,'Demand Projection'!$C$2:$C$169,$A87)</f>
        <v>0</v>
      </c>
      <c r="D87">
        <f>SUMIFS('Demand Projection'!$D$2:$D$169,'Demand Projection'!$B$2:$B$169,D$1,'Demand Projection'!$C$2:$C$169,$A87)</f>
        <v>0</v>
      </c>
      <c r="E87">
        <f>SUMIFS('Demand Projection'!$D$2:$D$169,'Demand Projection'!$B$2:$B$169,E$1,'Demand Projection'!$C$2:$C$169,$A87)</f>
        <v>0</v>
      </c>
      <c r="F87">
        <f>SUMIFS('Demand Projection'!$D$2:$D$169,'Demand Projection'!$B$2:$B$169,F$1,'Demand Projection'!$C$2:$C$169,$A87)</f>
        <v>0</v>
      </c>
      <c r="G87" cm="1">
        <f t="array" ref="G87">Q86+IF(ROW()-3&lt;2,0,INDEX(L:L,ROW()-3))</f>
        <v>2632</v>
      </c>
      <c r="H87" cm="1">
        <f t="array" ref="H87">R86+IF(ROW()-3&lt;2,0,INDEX(M:M,ROW()-3))</f>
        <v>22088</v>
      </c>
      <c r="I87" cm="1">
        <f t="array" ref="I87">S86+IF(ROW()-3&lt;2,0,INDEX(N:N,ROW()-3))</f>
        <v>3315</v>
      </c>
      <c r="J87" cm="1">
        <f t="array" ref="J87">T86+IF(ROW()-3&lt;2,0,INDEX(O:O,ROW()-3))</f>
        <v>5432</v>
      </c>
      <c r="K87" cm="1">
        <f t="array" ref="K87">U86+IF(ROW()-3&lt;2,0,INDEX(P:P,ROW()-3))</f>
        <v>3767</v>
      </c>
      <c r="L87">
        <f>IF(Q87&lt;_xlfn.XLOOKUP(L$1,Capacity!$D$3:$D$7,Capacity!$E$3:$E$7),_xlfn.XLOOKUP(L$1,Capacity!$D$3:$D$7,Capacity!$F$3:$F$7)-Q87,0)</f>
        <v>0</v>
      </c>
      <c r="M87">
        <f>IF(R87&lt;_xlfn.XLOOKUP(M$1,Capacity!$D$3:$D$7,Capacity!$E$3:$E$7),_xlfn.XLOOKUP(M$1,Capacity!$D$3:$D$7,Capacity!$F$3:$F$7)-R87,0)</f>
        <v>0</v>
      </c>
      <c r="N87">
        <f>IF(S87&lt;_xlfn.XLOOKUP(N$1,Capacity!$D$3:$D$7,Capacity!$E$3:$E$7),_xlfn.XLOOKUP(N$1,Capacity!$D$3:$D$7,Capacity!$F$3:$F$7)-S87,0)</f>
        <v>0</v>
      </c>
      <c r="O87">
        <f>IF(T87&lt;_xlfn.XLOOKUP(O$1,Capacity!$D$3:$D$7,Capacity!$E$3:$E$7),_xlfn.XLOOKUP(O$1,Capacity!$D$3:$D$7,Capacity!$F$3:$F$7)-T87,0)</f>
        <v>0</v>
      </c>
      <c r="P87">
        <f>IF(U87&lt;_xlfn.XLOOKUP(P$1,Capacity!$D$3:$D$7,Capacity!$E$3:$E$7),_xlfn.XLOOKUP(P$1,Capacity!$D$3:$D$7,Capacity!$F$3:$F$7)-U87,0)</f>
        <v>0</v>
      </c>
      <c r="Q87">
        <f t="shared" si="7"/>
        <v>2632</v>
      </c>
      <c r="R87">
        <f t="shared" si="8"/>
        <v>22088</v>
      </c>
      <c r="S87">
        <f t="shared" si="9"/>
        <v>3315</v>
      </c>
      <c r="T87">
        <f t="shared" si="10"/>
        <v>5432</v>
      </c>
      <c r="U87">
        <f t="shared" si="11"/>
        <v>3767</v>
      </c>
    </row>
    <row r="88" spans="1:21">
      <c r="A88" s="5">
        <f t="shared" si="12"/>
        <v>46109</v>
      </c>
      <c r="B88">
        <f>SUMIFS('Demand Projection'!$D$2:$D$169,'Demand Projection'!$B$2:$B$169,B$1,'Demand Projection'!$C$2:$C$169,$A88)</f>
        <v>0</v>
      </c>
      <c r="C88">
        <f>SUMIFS('Demand Projection'!$D$2:$D$169,'Demand Projection'!$B$2:$B$169,C$1,'Demand Projection'!$C$2:$C$169,$A88)</f>
        <v>0</v>
      </c>
      <c r="D88">
        <f>SUMIFS('Demand Projection'!$D$2:$D$169,'Demand Projection'!$B$2:$B$169,D$1,'Demand Projection'!$C$2:$C$169,$A88)</f>
        <v>0</v>
      </c>
      <c r="E88">
        <f>SUMIFS('Demand Projection'!$D$2:$D$169,'Demand Projection'!$B$2:$B$169,E$1,'Demand Projection'!$C$2:$C$169,$A88)</f>
        <v>3274</v>
      </c>
      <c r="F88">
        <f>SUMIFS('Demand Projection'!$D$2:$D$169,'Demand Projection'!$B$2:$B$169,F$1,'Demand Projection'!$C$2:$C$169,$A88)</f>
        <v>2183</v>
      </c>
      <c r="G88" cm="1">
        <f t="array" ref="G88">Q87+IF(ROW()-3&lt;2,0,INDEX(L:L,ROW()-3))</f>
        <v>5125</v>
      </c>
      <c r="H88" cm="1">
        <f t="array" ref="H88">R87+IF(ROW()-3&lt;2,0,INDEX(M:M,ROW()-3))</f>
        <v>22088</v>
      </c>
      <c r="I88" cm="1">
        <f t="array" ref="I88">S87+IF(ROW()-3&lt;2,0,INDEX(N:N,ROW()-3))</f>
        <v>3315</v>
      </c>
      <c r="J88" cm="1">
        <f t="array" ref="J88">T87+IF(ROW()-3&lt;2,0,INDEX(O:O,ROW()-3))</f>
        <v>5432</v>
      </c>
      <c r="K88" cm="1">
        <f t="array" ref="K88">U87+IF(ROW()-3&lt;2,0,INDEX(P:P,ROW()-3))</f>
        <v>3767</v>
      </c>
      <c r="L88">
        <f>IF(Q88&lt;_xlfn.XLOOKUP(L$1,Capacity!$D$3:$D$7,Capacity!$E$3:$E$7),_xlfn.XLOOKUP(L$1,Capacity!$D$3:$D$7,Capacity!$F$3:$F$7)-Q88,0)</f>
        <v>0</v>
      </c>
      <c r="M88">
        <f>IF(R88&lt;_xlfn.XLOOKUP(M$1,Capacity!$D$3:$D$7,Capacity!$E$3:$E$7),_xlfn.XLOOKUP(M$1,Capacity!$D$3:$D$7,Capacity!$F$3:$F$7)-R88,0)</f>
        <v>0</v>
      </c>
      <c r="N88">
        <f>IF(S88&lt;_xlfn.XLOOKUP(N$1,Capacity!$D$3:$D$7,Capacity!$E$3:$E$7),_xlfn.XLOOKUP(N$1,Capacity!$D$3:$D$7,Capacity!$F$3:$F$7)-S88,0)</f>
        <v>0</v>
      </c>
      <c r="O88">
        <f>IF(T88&lt;_xlfn.XLOOKUP(O$1,Capacity!$D$3:$D$7,Capacity!$E$3:$E$7),_xlfn.XLOOKUP(O$1,Capacity!$D$3:$D$7,Capacity!$F$3:$F$7)-T88,0)</f>
        <v>0</v>
      </c>
      <c r="P88">
        <f>IF(U88&lt;_xlfn.XLOOKUP(P$1,Capacity!$D$3:$D$7,Capacity!$E$3:$E$7),_xlfn.XLOOKUP(P$1,Capacity!$D$3:$D$7,Capacity!$F$3:$F$7)-U88,0)</f>
        <v>0</v>
      </c>
      <c r="Q88">
        <f t="shared" si="7"/>
        <v>5125</v>
      </c>
      <c r="R88">
        <f t="shared" si="8"/>
        <v>22088</v>
      </c>
      <c r="S88">
        <f t="shared" si="9"/>
        <v>3315</v>
      </c>
      <c r="T88">
        <f t="shared" si="10"/>
        <v>2158</v>
      </c>
      <c r="U88">
        <f t="shared" si="11"/>
        <v>1584</v>
      </c>
    </row>
    <row r="89" spans="1:21">
      <c r="A89" s="5">
        <f t="shared" si="12"/>
        <v>46110</v>
      </c>
      <c r="B89">
        <f>SUMIFS('Demand Projection'!$D$2:$D$169,'Demand Projection'!$B$2:$B$169,B$1,'Demand Projection'!$C$2:$C$169,$A89)</f>
        <v>0</v>
      </c>
      <c r="C89">
        <f>SUMIFS('Demand Projection'!$D$2:$D$169,'Demand Projection'!$B$2:$B$169,C$1,'Demand Projection'!$C$2:$C$169,$A89)</f>
        <v>0</v>
      </c>
      <c r="D89">
        <f>SUMIFS('Demand Projection'!$D$2:$D$169,'Demand Projection'!$B$2:$B$169,D$1,'Demand Projection'!$C$2:$C$169,$A89)</f>
        <v>0</v>
      </c>
      <c r="E89">
        <f>SUMIFS('Demand Projection'!$D$2:$D$169,'Demand Projection'!$B$2:$B$169,E$1,'Demand Projection'!$C$2:$C$169,$A89)</f>
        <v>0</v>
      </c>
      <c r="F89">
        <f>SUMIFS('Demand Projection'!$D$2:$D$169,'Demand Projection'!$B$2:$B$169,F$1,'Demand Projection'!$C$2:$C$169,$A89)</f>
        <v>0</v>
      </c>
      <c r="G89" cm="1">
        <f t="array" ref="G89">Q88+IF(ROW()-3&lt;2,0,INDEX(L:L,ROW()-3))</f>
        <v>7618</v>
      </c>
      <c r="H89" cm="1">
        <f t="array" ref="H89">R88+IF(ROW()-3&lt;2,0,INDEX(M:M,ROW()-3))</f>
        <v>22088</v>
      </c>
      <c r="I89" cm="1">
        <f t="array" ref="I89">S88+IF(ROW()-3&lt;2,0,INDEX(N:N,ROW()-3))</f>
        <v>3315</v>
      </c>
      <c r="J89" cm="1">
        <f t="array" ref="J89">T88+IF(ROW()-3&lt;2,0,INDEX(O:O,ROW()-3))</f>
        <v>2158</v>
      </c>
      <c r="K89" cm="1">
        <f t="array" ref="K89">U88+IF(ROW()-3&lt;2,0,INDEX(P:P,ROW()-3))</f>
        <v>1584</v>
      </c>
      <c r="L89">
        <f>IF(Q89&lt;_xlfn.XLOOKUP(L$1,Capacity!$D$3:$D$7,Capacity!$E$3:$E$7),_xlfn.XLOOKUP(L$1,Capacity!$D$3:$D$7,Capacity!$F$3:$F$7)-Q89,0)</f>
        <v>0</v>
      </c>
      <c r="M89">
        <f>IF(R89&lt;_xlfn.XLOOKUP(M$1,Capacity!$D$3:$D$7,Capacity!$E$3:$E$7),_xlfn.XLOOKUP(M$1,Capacity!$D$3:$D$7,Capacity!$F$3:$F$7)-R89,0)</f>
        <v>0</v>
      </c>
      <c r="N89">
        <f>IF(S89&lt;_xlfn.XLOOKUP(N$1,Capacity!$D$3:$D$7,Capacity!$E$3:$E$7),_xlfn.XLOOKUP(N$1,Capacity!$D$3:$D$7,Capacity!$F$3:$F$7)-S89,0)</f>
        <v>0</v>
      </c>
      <c r="O89">
        <f>IF(T89&lt;_xlfn.XLOOKUP(O$1,Capacity!$D$3:$D$7,Capacity!$E$3:$E$7),_xlfn.XLOOKUP(O$1,Capacity!$D$3:$D$7,Capacity!$F$3:$F$7)-T89,0)</f>
        <v>0</v>
      </c>
      <c r="P89">
        <f>IF(U89&lt;_xlfn.XLOOKUP(P$1,Capacity!$D$3:$D$7,Capacity!$E$3:$E$7),_xlfn.XLOOKUP(P$1,Capacity!$D$3:$D$7,Capacity!$F$3:$F$7)-U89,0)</f>
        <v>0</v>
      </c>
      <c r="Q89">
        <f t="shared" si="7"/>
        <v>7618</v>
      </c>
      <c r="R89">
        <f t="shared" si="8"/>
        <v>22088</v>
      </c>
      <c r="S89">
        <f t="shared" si="9"/>
        <v>3315</v>
      </c>
      <c r="T89">
        <f t="shared" si="10"/>
        <v>2158</v>
      </c>
      <c r="U89">
        <f t="shared" si="11"/>
        <v>1584</v>
      </c>
    </row>
    <row r="90" spans="1:21">
      <c r="A90" s="5">
        <f t="shared" si="12"/>
        <v>46111</v>
      </c>
      <c r="B90">
        <f>SUMIFS('Demand Projection'!$D$2:$D$169,'Demand Projection'!$B$2:$B$169,B$1,'Demand Projection'!$C$2:$C$169,$A90)</f>
        <v>0</v>
      </c>
      <c r="C90">
        <f>SUMIFS('Demand Projection'!$D$2:$D$169,'Demand Projection'!$B$2:$B$169,C$1,'Demand Projection'!$C$2:$C$169,$A90)</f>
        <v>0</v>
      </c>
      <c r="D90">
        <f>SUMIFS('Demand Projection'!$D$2:$D$169,'Demand Projection'!$B$2:$B$169,D$1,'Demand Projection'!$C$2:$C$169,$A90)</f>
        <v>0</v>
      </c>
      <c r="E90">
        <f>SUMIFS('Demand Projection'!$D$2:$D$169,'Demand Projection'!$B$2:$B$169,E$1,'Demand Projection'!$C$2:$C$169,$A90)</f>
        <v>0</v>
      </c>
      <c r="F90">
        <f>SUMIFS('Demand Projection'!$D$2:$D$169,'Demand Projection'!$B$2:$B$169,F$1,'Demand Projection'!$C$2:$C$169,$A90)</f>
        <v>0</v>
      </c>
      <c r="G90" cm="1">
        <f t="array" ref="G90">Q89+IF(ROW()-3&lt;2,0,INDEX(L:L,ROW()-3))</f>
        <v>7618</v>
      </c>
      <c r="H90" cm="1">
        <f t="array" ref="H90">R89+IF(ROW()-3&lt;2,0,INDEX(M:M,ROW()-3))</f>
        <v>22088</v>
      </c>
      <c r="I90" cm="1">
        <f t="array" ref="I90">S89+IF(ROW()-3&lt;2,0,INDEX(N:N,ROW()-3))</f>
        <v>3315</v>
      </c>
      <c r="J90" cm="1">
        <f t="array" ref="J90">T89+IF(ROW()-3&lt;2,0,INDEX(O:O,ROW()-3))</f>
        <v>2158</v>
      </c>
      <c r="K90" cm="1">
        <f t="array" ref="K90">U89+IF(ROW()-3&lt;2,0,INDEX(P:P,ROW()-3))</f>
        <v>1584</v>
      </c>
      <c r="L90">
        <f>IF(Q90&lt;_xlfn.XLOOKUP(L$1,Capacity!$D$3:$D$7,Capacity!$E$3:$E$7),_xlfn.XLOOKUP(L$1,Capacity!$D$3:$D$7,Capacity!$F$3:$F$7)-Q90,0)</f>
        <v>0</v>
      </c>
      <c r="M90">
        <f>IF(R90&lt;_xlfn.XLOOKUP(M$1,Capacity!$D$3:$D$7,Capacity!$E$3:$E$7),_xlfn.XLOOKUP(M$1,Capacity!$D$3:$D$7,Capacity!$F$3:$F$7)-R90,0)</f>
        <v>0</v>
      </c>
      <c r="N90">
        <f>IF(S90&lt;_xlfn.XLOOKUP(N$1,Capacity!$D$3:$D$7,Capacity!$E$3:$E$7),_xlfn.XLOOKUP(N$1,Capacity!$D$3:$D$7,Capacity!$F$3:$F$7)-S90,0)</f>
        <v>0</v>
      </c>
      <c r="O90">
        <f>IF(T90&lt;_xlfn.XLOOKUP(O$1,Capacity!$D$3:$D$7,Capacity!$E$3:$E$7),_xlfn.XLOOKUP(O$1,Capacity!$D$3:$D$7,Capacity!$F$3:$F$7)-T90,0)</f>
        <v>0</v>
      </c>
      <c r="P90">
        <f>IF(U90&lt;_xlfn.XLOOKUP(P$1,Capacity!$D$3:$D$7,Capacity!$E$3:$E$7),_xlfn.XLOOKUP(P$1,Capacity!$D$3:$D$7,Capacity!$F$3:$F$7)-U90,0)</f>
        <v>0</v>
      </c>
      <c r="Q90">
        <f t="shared" si="7"/>
        <v>7618</v>
      </c>
      <c r="R90">
        <f t="shared" si="8"/>
        <v>22088</v>
      </c>
      <c r="S90">
        <f t="shared" si="9"/>
        <v>3315</v>
      </c>
      <c r="T90">
        <f t="shared" si="10"/>
        <v>2158</v>
      </c>
      <c r="U90">
        <f t="shared" si="11"/>
        <v>1584</v>
      </c>
    </row>
    <row r="91" spans="1:21">
      <c r="A91" s="5">
        <f t="shared" si="12"/>
        <v>46112</v>
      </c>
      <c r="B91">
        <f>SUMIFS('Demand Projection'!$D$2:$D$169,'Demand Projection'!$B$2:$B$169,B$1,'Demand Projection'!$C$2:$C$169,$A91)</f>
        <v>0</v>
      </c>
      <c r="C91">
        <f>SUMIFS('Demand Projection'!$D$2:$D$169,'Demand Projection'!$B$2:$B$169,C$1,'Demand Projection'!$C$2:$C$169,$A91)</f>
        <v>0</v>
      </c>
      <c r="D91">
        <f>SUMIFS('Demand Projection'!$D$2:$D$169,'Demand Projection'!$B$2:$B$169,D$1,'Demand Projection'!$C$2:$C$169,$A91)</f>
        <v>0</v>
      </c>
      <c r="E91">
        <f>SUMIFS('Demand Projection'!$D$2:$D$169,'Demand Projection'!$B$2:$B$169,E$1,'Demand Projection'!$C$2:$C$169,$A91)</f>
        <v>0</v>
      </c>
      <c r="F91">
        <f>SUMIFS('Demand Projection'!$D$2:$D$169,'Demand Projection'!$B$2:$B$169,F$1,'Demand Projection'!$C$2:$C$169,$A91)</f>
        <v>0</v>
      </c>
      <c r="G91" cm="1">
        <f t="array" ref="G91">Q90+IF(ROW()-3&lt;2,0,INDEX(L:L,ROW()-3))</f>
        <v>7618</v>
      </c>
      <c r="H91" cm="1">
        <f t="array" ref="H91">R90+IF(ROW()-3&lt;2,0,INDEX(M:M,ROW()-3))</f>
        <v>22088</v>
      </c>
      <c r="I91" cm="1">
        <f t="array" ref="I91">S90+IF(ROW()-3&lt;2,0,INDEX(N:N,ROW()-3))</f>
        <v>3315</v>
      </c>
      <c r="J91" cm="1">
        <f t="array" ref="J91">T90+IF(ROW()-3&lt;2,0,INDEX(O:O,ROW()-3))</f>
        <v>2158</v>
      </c>
      <c r="K91" cm="1">
        <f t="array" ref="K91">U90+IF(ROW()-3&lt;2,0,INDEX(P:P,ROW()-3))</f>
        <v>1584</v>
      </c>
      <c r="L91">
        <f>IF(Q91&lt;_xlfn.XLOOKUP(L$1,Capacity!$D$3:$D$7,Capacity!$E$3:$E$7),_xlfn.XLOOKUP(L$1,Capacity!$D$3:$D$7,Capacity!$F$3:$F$7)-Q91,0)</f>
        <v>0</v>
      </c>
      <c r="M91">
        <f>IF(R91&lt;_xlfn.XLOOKUP(M$1,Capacity!$D$3:$D$7,Capacity!$E$3:$E$7),_xlfn.XLOOKUP(M$1,Capacity!$D$3:$D$7,Capacity!$F$3:$F$7)-R91,0)</f>
        <v>0</v>
      </c>
      <c r="N91">
        <f>IF(S91&lt;_xlfn.XLOOKUP(N$1,Capacity!$D$3:$D$7,Capacity!$E$3:$E$7),_xlfn.XLOOKUP(N$1,Capacity!$D$3:$D$7,Capacity!$F$3:$F$7)-S91,0)</f>
        <v>0</v>
      </c>
      <c r="O91">
        <f>IF(T91&lt;_xlfn.XLOOKUP(O$1,Capacity!$D$3:$D$7,Capacity!$E$3:$E$7),_xlfn.XLOOKUP(O$1,Capacity!$D$3:$D$7,Capacity!$F$3:$F$7)-T91,0)</f>
        <v>0</v>
      </c>
      <c r="P91">
        <f>IF(U91&lt;_xlfn.XLOOKUP(P$1,Capacity!$D$3:$D$7,Capacity!$E$3:$E$7),_xlfn.XLOOKUP(P$1,Capacity!$D$3:$D$7,Capacity!$F$3:$F$7)-U91,0)</f>
        <v>0</v>
      </c>
      <c r="Q91">
        <f t="shared" si="7"/>
        <v>7618</v>
      </c>
      <c r="R91">
        <f t="shared" si="8"/>
        <v>22088</v>
      </c>
      <c r="S91">
        <f t="shared" si="9"/>
        <v>3315</v>
      </c>
      <c r="T91">
        <f t="shared" si="10"/>
        <v>2158</v>
      </c>
      <c r="U91">
        <f t="shared" si="11"/>
        <v>1584</v>
      </c>
    </row>
    <row r="92" spans="1:21">
      <c r="A92" s="5">
        <f t="shared" si="12"/>
        <v>46113</v>
      </c>
      <c r="B92">
        <f>SUMIFS('Demand Projection'!$D$2:$D$169,'Demand Projection'!$B$2:$B$169,B$1,'Demand Projection'!$C$2:$C$169,$A92)</f>
        <v>0</v>
      </c>
      <c r="C92">
        <f>SUMIFS('Demand Projection'!$D$2:$D$169,'Demand Projection'!$B$2:$B$169,C$1,'Demand Projection'!$C$2:$C$169,$A92)</f>
        <v>0</v>
      </c>
      <c r="D92">
        <f>SUMIFS('Demand Projection'!$D$2:$D$169,'Demand Projection'!$B$2:$B$169,D$1,'Demand Projection'!$C$2:$C$169,$A92)</f>
        <v>0</v>
      </c>
      <c r="E92">
        <f>SUMIFS('Demand Projection'!$D$2:$D$169,'Demand Projection'!$B$2:$B$169,E$1,'Demand Projection'!$C$2:$C$169,$A92)</f>
        <v>0</v>
      </c>
      <c r="F92">
        <f>SUMIFS('Demand Projection'!$D$2:$D$169,'Demand Projection'!$B$2:$B$169,F$1,'Demand Projection'!$C$2:$C$169,$A92)</f>
        <v>0</v>
      </c>
      <c r="G92" cm="1">
        <f t="array" ref="G92">Q91+IF(ROW()-3&lt;2,0,INDEX(L:L,ROW()-3))</f>
        <v>7618</v>
      </c>
      <c r="H92" cm="1">
        <f t="array" ref="H92">R91+IF(ROW()-3&lt;2,0,INDEX(M:M,ROW()-3))</f>
        <v>22088</v>
      </c>
      <c r="I92" cm="1">
        <f t="array" ref="I92">S91+IF(ROW()-3&lt;2,0,INDEX(N:N,ROW()-3))</f>
        <v>3315</v>
      </c>
      <c r="J92" cm="1">
        <f t="array" ref="J92">T91+IF(ROW()-3&lt;2,0,INDEX(O:O,ROW()-3))</f>
        <v>2158</v>
      </c>
      <c r="K92" cm="1">
        <f t="array" ref="K92">U91+IF(ROW()-3&lt;2,0,INDEX(P:P,ROW()-3))</f>
        <v>1584</v>
      </c>
      <c r="L92">
        <f>IF(Q92&lt;_xlfn.XLOOKUP(L$1,Capacity!$D$3:$D$7,Capacity!$E$3:$E$7),_xlfn.XLOOKUP(L$1,Capacity!$D$3:$D$7,Capacity!$F$3:$F$7)-Q92,0)</f>
        <v>0</v>
      </c>
      <c r="M92">
        <f>IF(R92&lt;_xlfn.XLOOKUP(M$1,Capacity!$D$3:$D$7,Capacity!$E$3:$E$7),_xlfn.XLOOKUP(M$1,Capacity!$D$3:$D$7,Capacity!$F$3:$F$7)-R92,0)</f>
        <v>0</v>
      </c>
      <c r="N92">
        <f>IF(S92&lt;_xlfn.XLOOKUP(N$1,Capacity!$D$3:$D$7,Capacity!$E$3:$E$7),_xlfn.XLOOKUP(N$1,Capacity!$D$3:$D$7,Capacity!$F$3:$F$7)-S92,0)</f>
        <v>0</v>
      </c>
      <c r="O92">
        <f>IF(T92&lt;_xlfn.XLOOKUP(O$1,Capacity!$D$3:$D$7,Capacity!$E$3:$E$7),_xlfn.XLOOKUP(O$1,Capacity!$D$3:$D$7,Capacity!$F$3:$F$7)-T92,0)</f>
        <v>0</v>
      </c>
      <c r="P92">
        <f>IF(U92&lt;_xlfn.XLOOKUP(P$1,Capacity!$D$3:$D$7,Capacity!$E$3:$E$7),_xlfn.XLOOKUP(P$1,Capacity!$D$3:$D$7,Capacity!$F$3:$F$7)-U92,0)</f>
        <v>0</v>
      </c>
      <c r="Q92">
        <f t="shared" si="7"/>
        <v>7618</v>
      </c>
      <c r="R92">
        <f t="shared" si="8"/>
        <v>22088</v>
      </c>
      <c r="S92">
        <f t="shared" si="9"/>
        <v>3315</v>
      </c>
      <c r="T92">
        <f t="shared" si="10"/>
        <v>2158</v>
      </c>
      <c r="U92">
        <f t="shared" si="11"/>
        <v>1584</v>
      </c>
    </row>
    <row r="93" spans="1:21">
      <c r="A93" s="5">
        <f t="shared" si="12"/>
        <v>46114</v>
      </c>
      <c r="B93">
        <f>SUMIFS('Demand Projection'!$D$2:$D$169,'Demand Projection'!$B$2:$B$169,B$1,'Demand Projection'!$C$2:$C$169,$A93)</f>
        <v>0</v>
      </c>
      <c r="C93">
        <f>SUMIFS('Demand Projection'!$D$2:$D$169,'Demand Projection'!$B$2:$B$169,C$1,'Demand Projection'!$C$2:$C$169,$A93)</f>
        <v>0</v>
      </c>
      <c r="D93">
        <f>SUMIFS('Demand Projection'!$D$2:$D$169,'Demand Projection'!$B$2:$B$169,D$1,'Demand Projection'!$C$2:$C$169,$A93)</f>
        <v>0</v>
      </c>
      <c r="E93">
        <f>SUMIFS('Demand Projection'!$D$2:$D$169,'Demand Projection'!$B$2:$B$169,E$1,'Demand Projection'!$C$2:$C$169,$A93)</f>
        <v>0</v>
      </c>
      <c r="F93">
        <f>SUMIFS('Demand Projection'!$D$2:$D$169,'Demand Projection'!$B$2:$B$169,F$1,'Demand Projection'!$C$2:$C$169,$A93)</f>
        <v>0</v>
      </c>
      <c r="G93" cm="1">
        <f t="array" ref="G93">Q92+IF(ROW()-3&lt;2,0,INDEX(L:L,ROW()-3))</f>
        <v>7618</v>
      </c>
      <c r="H93" cm="1">
        <f t="array" ref="H93">R92+IF(ROW()-3&lt;2,0,INDEX(M:M,ROW()-3))</f>
        <v>22088</v>
      </c>
      <c r="I93" cm="1">
        <f t="array" ref="I93">S92+IF(ROW()-3&lt;2,0,INDEX(N:N,ROW()-3))</f>
        <v>3315</v>
      </c>
      <c r="J93" cm="1">
        <f t="array" ref="J93">T92+IF(ROW()-3&lt;2,0,INDEX(O:O,ROW()-3))</f>
        <v>2158</v>
      </c>
      <c r="K93" cm="1">
        <f t="array" ref="K93">U92+IF(ROW()-3&lt;2,0,INDEX(P:P,ROW()-3))</f>
        <v>1584</v>
      </c>
      <c r="L93">
        <f>IF(Q93&lt;_xlfn.XLOOKUP(L$1,Capacity!$D$3:$D$7,Capacity!$E$3:$E$7),_xlfn.XLOOKUP(L$1,Capacity!$D$3:$D$7,Capacity!$F$3:$F$7)-Q93,0)</f>
        <v>0</v>
      </c>
      <c r="M93">
        <f>IF(R93&lt;_xlfn.XLOOKUP(M$1,Capacity!$D$3:$D$7,Capacity!$E$3:$E$7),_xlfn.XLOOKUP(M$1,Capacity!$D$3:$D$7,Capacity!$F$3:$F$7)-R93,0)</f>
        <v>0</v>
      </c>
      <c r="N93">
        <f>IF(S93&lt;_xlfn.XLOOKUP(N$1,Capacity!$D$3:$D$7,Capacity!$E$3:$E$7),_xlfn.XLOOKUP(N$1,Capacity!$D$3:$D$7,Capacity!$F$3:$F$7)-S93,0)</f>
        <v>0</v>
      </c>
      <c r="O93">
        <f>IF(T93&lt;_xlfn.XLOOKUP(O$1,Capacity!$D$3:$D$7,Capacity!$E$3:$E$7),_xlfn.XLOOKUP(O$1,Capacity!$D$3:$D$7,Capacity!$F$3:$F$7)-T93,0)</f>
        <v>0</v>
      </c>
      <c r="P93">
        <f>IF(U93&lt;_xlfn.XLOOKUP(P$1,Capacity!$D$3:$D$7,Capacity!$E$3:$E$7),_xlfn.XLOOKUP(P$1,Capacity!$D$3:$D$7,Capacity!$F$3:$F$7)-U93,0)</f>
        <v>0</v>
      </c>
      <c r="Q93">
        <f t="shared" si="7"/>
        <v>7618</v>
      </c>
      <c r="R93">
        <f t="shared" si="8"/>
        <v>22088</v>
      </c>
      <c r="S93">
        <f t="shared" si="9"/>
        <v>3315</v>
      </c>
      <c r="T93">
        <f t="shared" si="10"/>
        <v>2158</v>
      </c>
      <c r="U93">
        <f t="shared" si="11"/>
        <v>1584</v>
      </c>
    </row>
    <row r="94" spans="1:21">
      <c r="A94" s="5">
        <f t="shared" si="12"/>
        <v>46115</v>
      </c>
      <c r="B94">
        <f>SUMIFS('Demand Projection'!$D$2:$D$169,'Demand Projection'!$B$2:$B$169,B$1,'Demand Projection'!$C$2:$C$169,$A94)</f>
        <v>1055</v>
      </c>
      <c r="C94">
        <f>SUMIFS('Demand Projection'!$D$2:$D$169,'Demand Projection'!$B$2:$B$169,C$1,'Demand Projection'!$C$2:$C$169,$A94)</f>
        <v>6329</v>
      </c>
      <c r="D94">
        <f>SUMIFS('Demand Projection'!$D$2:$D$169,'Demand Projection'!$B$2:$B$169,D$1,'Demand Projection'!$C$2:$C$169,$A94)</f>
        <v>0</v>
      </c>
      <c r="E94">
        <f>SUMIFS('Demand Projection'!$D$2:$D$169,'Demand Projection'!$B$2:$B$169,E$1,'Demand Projection'!$C$2:$C$169,$A94)</f>
        <v>0</v>
      </c>
      <c r="F94">
        <f>SUMIFS('Demand Projection'!$D$2:$D$169,'Demand Projection'!$B$2:$B$169,F$1,'Demand Projection'!$C$2:$C$169,$A94)</f>
        <v>0</v>
      </c>
      <c r="G94" cm="1">
        <f t="array" ref="G94">Q93+IF(ROW()-3&lt;2,0,INDEX(L:L,ROW()-3))</f>
        <v>7618</v>
      </c>
      <c r="H94" cm="1">
        <f t="array" ref="H94">R93+IF(ROW()-3&lt;2,0,INDEX(M:M,ROW()-3))</f>
        <v>22088</v>
      </c>
      <c r="I94" cm="1">
        <f t="array" ref="I94">S93+IF(ROW()-3&lt;2,0,INDEX(N:N,ROW()-3))</f>
        <v>3315</v>
      </c>
      <c r="J94" cm="1">
        <f t="array" ref="J94">T93+IF(ROW()-3&lt;2,0,INDEX(O:O,ROW()-3))</f>
        <v>2158</v>
      </c>
      <c r="K94" cm="1">
        <f t="array" ref="K94">U93+IF(ROW()-3&lt;2,0,INDEX(P:P,ROW()-3))</f>
        <v>1584</v>
      </c>
      <c r="L94">
        <f>IF(Q94&lt;_xlfn.XLOOKUP(L$1,Capacity!$D$3:$D$7,Capacity!$E$3:$E$7),_xlfn.XLOOKUP(L$1,Capacity!$D$3:$D$7,Capacity!$F$3:$F$7)-Q94,0)</f>
        <v>0</v>
      </c>
      <c r="M94">
        <f>IF(R94&lt;_xlfn.XLOOKUP(M$1,Capacity!$D$3:$D$7,Capacity!$E$3:$E$7),_xlfn.XLOOKUP(M$1,Capacity!$D$3:$D$7,Capacity!$F$3:$F$7)-R94,0)</f>
        <v>0</v>
      </c>
      <c r="N94">
        <f>IF(S94&lt;_xlfn.XLOOKUP(N$1,Capacity!$D$3:$D$7,Capacity!$E$3:$E$7),_xlfn.XLOOKUP(N$1,Capacity!$D$3:$D$7,Capacity!$F$3:$F$7)-S94,0)</f>
        <v>0</v>
      </c>
      <c r="O94">
        <f>IF(T94&lt;_xlfn.XLOOKUP(O$1,Capacity!$D$3:$D$7,Capacity!$E$3:$E$7),_xlfn.XLOOKUP(O$1,Capacity!$D$3:$D$7,Capacity!$F$3:$F$7)-T94,0)</f>
        <v>0</v>
      </c>
      <c r="P94">
        <f>IF(U94&lt;_xlfn.XLOOKUP(P$1,Capacity!$D$3:$D$7,Capacity!$E$3:$E$7),_xlfn.XLOOKUP(P$1,Capacity!$D$3:$D$7,Capacity!$F$3:$F$7)-U94,0)</f>
        <v>0</v>
      </c>
      <c r="Q94">
        <f t="shared" si="7"/>
        <v>6563</v>
      </c>
      <c r="R94">
        <f t="shared" si="8"/>
        <v>15759</v>
      </c>
      <c r="S94">
        <f t="shared" si="9"/>
        <v>3315</v>
      </c>
      <c r="T94">
        <f t="shared" si="10"/>
        <v>2158</v>
      </c>
      <c r="U94">
        <f t="shared" si="11"/>
        <v>1584</v>
      </c>
    </row>
    <row r="95" spans="1:21">
      <c r="A95" s="5">
        <f t="shared" si="12"/>
        <v>46116</v>
      </c>
      <c r="B95">
        <f>SUMIFS('Demand Projection'!$D$2:$D$169,'Demand Projection'!$B$2:$B$169,B$1,'Demand Projection'!$C$2:$C$169,$A95)</f>
        <v>423</v>
      </c>
      <c r="C95">
        <f>SUMIFS('Demand Projection'!$D$2:$D$169,'Demand Projection'!$B$2:$B$169,C$1,'Demand Projection'!$C$2:$C$169,$A95)</f>
        <v>0</v>
      </c>
      <c r="D95">
        <f>SUMIFS('Demand Projection'!$D$2:$D$169,'Demand Projection'!$B$2:$B$169,D$1,'Demand Projection'!$C$2:$C$169,$A95)</f>
        <v>0</v>
      </c>
      <c r="E95">
        <f>SUMIFS('Demand Projection'!$D$2:$D$169,'Demand Projection'!$B$2:$B$169,E$1,'Demand Projection'!$C$2:$C$169,$A95)</f>
        <v>0</v>
      </c>
      <c r="F95">
        <f>SUMIFS('Demand Projection'!$D$2:$D$169,'Demand Projection'!$B$2:$B$169,F$1,'Demand Projection'!$C$2:$C$169,$A95)</f>
        <v>0</v>
      </c>
      <c r="G95" cm="1">
        <f t="array" ref="G95">Q94+IF(ROW()-3&lt;2,0,INDEX(L:L,ROW()-3))</f>
        <v>6563</v>
      </c>
      <c r="H95" cm="1">
        <f t="array" ref="H95">R94+IF(ROW()-3&lt;2,0,INDEX(M:M,ROW()-3))</f>
        <v>15759</v>
      </c>
      <c r="I95" cm="1">
        <f t="array" ref="I95">S94+IF(ROW()-3&lt;2,0,INDEX(N:N,ROW()-3))</f>
        <v>3315</v>
      </c>
      <c r="J95" cm="1">
        <f t="array" ref="J95">T94+IF(ROW()-3&lt;2,0,INDEX(O:O,ROW()-3))</f>
        <v>2158</v>
      </c>
      <c r="K95" cm="1">
        <f t="array" ref="K95">U94+IF(ROW()-3&lt;2,0,INDEX(P:P,ROW()-3))</f>
        <v>1584</v>
      </c>
      <c r="L95">
        <f>IF(Q95&lt;_xlfn.XLOOKUP(L$1,Capacity!$D$3:$D$7,Capacity!$E$3:$E$7),_xlfn.XLOOKUP(L$1,Capacity!$D$3:$D$7,Capacity!$F$3:$F$7)-Q95,0)</f>
        <v>0</v>
      </c>
      <c r="M95">
        <f>IF(R95&lt;_xlfn.XLOOKUP(M$1,Capacity!$D$3:$D$7,Capacity!$E$3:$E$7),_xlfn.XLOOKUP(M$1,Capacity!$D$3:$D$7,Capacity!$F$3:$F$7)-R95,0)</f>
        <v>0</v>
      </c>
      <c r="N95">
        <f>IF(S95&lt;_xlfn.XLOOKUP(N$1,Capacity!$D$3:$D$7,Capacity!$E$3:$E$7),_xlfn.XLOOKUP(N$1,Capacity!$D$3:$D$7,Capacity!$F$3:$F$7)-S95,0)</f>
        <v>0</v>
      </c>
      <c r="O95">
        <f>IF(T95&lt;_xlfn.XLOOKUP(O$1,Capacity!$D$3:$D$7,Capacity!$E$3:$E$7),_xlfn.XLOOKUP(O$1,Capacity!$D$3:$D$7,Capacity!$F$3:$F$7)-T95,0)</f>
        <v>0</v>
      </c>
      <c r="P95">
        <f>IF(U95&lt;_xlfn.XLOOKUP(P$1,Capacity!$D$3:$D$7,Capacity!$E$3:$E$7),_xlfn.XLOOKUP(P$1,Capacity!$D$3:$D$7,Capacity!$F$3:$F$7)-U95,0)</f>
        <v>0</v>
      </c>
      <c r="Q95">
        <f t="shared" si="7"/>
        <v>6140</v>
      </c>
      <c r="R95">
        <f t="shared" si="8"/>
        <v>15759</v>
      </c>
      <c r="S95">
        <f t="shared" si="9"/>
        <v>3315</v>
      </c>
      <c r="T95">
        <f t="shared" si="10"/>
        <v>2158</v>
      </c>
      <c r="U95">
        <f t="shared" si="11"/>
        <v>1584</v>
      </c>
    </row>
    <row r="96" spans="1:21">
      <c r="A96" s="5">
        <f t="shared" si="12"/>
        <v>46117</v>
      </c>
      <c r="B96">
        <f>SUMIFS('Demand Projection'!$D$2:$D$169,'Demand Projection'!$B$2:$B$169,B$1,'Demand Projection'!$C$2:$C$169,$A96)</f>
        <v>0</v>
      </c>
      <c r="C96">
        <f>SUMIFS('Demand Projection'!$D$2:$D$169,'Demand Projection'!$B$2:$B$169,C$1,'Demand Projection'!$C$2:$C$169,$A96)</f>
        <v>0</v>
      </c>
      <c r="D96">
        <f>SUMIFS('Demand Projection'!$D$2:$D$169,'Demand Projection'!$B$2:$B$169,D$1,'Demand Projection'!$C$2:$C$169,$A96)</f>
        <v>951</v>
      </c>
      <c r="E96">
        <f>SUMIFS('Demand Projection'!$D$2:$D$169,'Demand Projection'!$B$2:$B$169,E$1,'Demand Projection'!$C$2:$C$169,$A96)</f>
        <v>0</v>
      </c>
      <c r="F96">
        <f>SUMIFS('Demand Projection'!$D$2:$D$169,'Demand Projection'!$B$2:$B$169,F$1,'Demand Projection'!$C$2:$C$169,$A96)</f>
        <v>0</v>
      </c>
      <c r="G96" cm="1">
        <f t="array" ref="G96">Q95+IF(ROW()-3&lt;2,0,INDEX(L:L,ROW()-3))</f>
        <v>6140</v>
      </c>
      <c r="H96" cm="1">
        <f t="array" ref="H96">R95+IF(ROW()-3&lt;2,0,INDEX(M:M,ROW()-3))</f>
        <v>15759</v>
      </c>
      <c r="I96" cm="1">
        <f t="array" ref="I96">S95+IF(ROW()-3&lt;2,0,INDEX(N:N,ROW()-3))</f>
        <v>3315</v>
      </c>
      <c r="J96" cm="1">
        <f t="array" ref="J96">T95+IF(ROW()-3&lt;2,0,INDEX(O:O,ROW()-3))</f>
        <v>2158</v>
      </c>
      <c r="K96" cm="1">
        <f t="array" ref="K96">U95+IF(ROW()-3&lt;2,0,INDEX(P:P,ROW()-3))</f>
        <v>1584</v>
      </c>
      <c r="L96">
        <f>IF(Q96&lt;_xlfn.XLOOKUP(L$1,Capacity!$D$3:$D$7,Capacity!$E$3:$E$7),_xlfn.XLOOKUP(L$1,Capacity!$D$3:$D$7,Capacity!$F$3:$F$7)-Q96,0)</f>
        <v>0</v>
      </c>
      <c r="M96">
        <f>IF(R96&lt;_xlfn.XLOOKUP(M$1,Capacity!$D$3:$D$7,Capacity!$E$3:$E$7),_xlfn.XLOOKUP(M$1,Capacity!$D$3:$D$7,Capacity!$F$3:$F$7)-R96,0)</f>
        <v>0</v>
      </c>
      <c r="N96">
        <f>IF(S96&lt;_xlfn.XLOOKUP(N$1,Capacity!$D$3:$D$7,Capacity!$E$3:$E$7),_xlfn.XLOOKUP(N$1,Capacity!$D$3:$D$7,Capacity!$F$3:$F$7)-S96,0)</f>
        <v>0</v>
      </c>
      <c r="O96">
        <f>IF(T96&lt;_xlfn.XLOOKUP(O$1,Capacity!$D$3:$D$7,Capacity!$E$3:$E$7),_xlfn.XLOOKUP(O$1,Capacity!$D$3:$D$7,Capacity!$F$3:$F$7)-T96,0)</f>
        <v>0</v>
      </c>
      <c r="P96">
        <f>IF(U96&lt;_xlfn.XLOOKUP(P$1,Capacity!$D$3:$D$7,Capacity!$E$3:$E$7),_xlfn.XLOOKUP(P$1,Capacity!$D$3:$D$7,Capacity!$F$3:$F$7)-U96,0)</f>
        <v>0</v>
      </c>
      <c r="Q96">
        <f t="shared" si="7"/>
        <v>6140</v>
      </c>
      <c r="R96">
        <f t="shared" si="8"/>
        <v>15759</v>
      </c>
      <c r="S96">
        <f t="shared" si="9"/>
        <v>2364</v>
      </c>
      <c r="T96">
        <f t="shared" si="10"/>
        <v>2158</v>
      </c>
      <c r="U96">
        <f t="shared" si="11"/>
        <v>1584</v>
      </c>
    </row>
    <row r="97" spans="1:21">
      <c r="A97" s="5">
        <f t="shared" si="12"/>
        <v>46118</v>
      </c>
      <c r="B97">
        <f>SUMIFS('Demand Projection'!$D$2:$D$169,'Demand Projection'!$B$2:$B$169,B$1,'Demand Projection'!$C$2:$C$169,$A97)</f>
        <v>0</v>
      </c>
      <c r="C97">
        <f>SUMIFS('Demand Projection'!$D$2:$D$169,'Demand Projection'!$B$2:$B$169,C$1,'Demand Projection'!$C$2:$C$169,$A97)</f>
        <v>0</v>
      </c>
      <c r="D97">
        <f>SUMIFS('Demand Projection'!$D$2:$D$169,'Demand Projection'!$B$2:$B$169,D$1,'Demand Projection'!$C$2:$C$169,$A97)</f>
        <v>0</v>
      </c>
      <c r="E97">
        <f>SUMIFS('Demand Projection'!$D$2:$D$169,'Demand Projection'!$B$2:$B$169,E$1,'Demand Projection'!$C$2:$C$169,$A97)</f>
        <v>634</v>
      </c>
      <c r="F97">
        <f>SUMIFS('Demand Projection'!$D$2:$D$169,'Demand Projection'!$B$2:$B$169,F$1,'Demand Projection'!$C$2:$C$169,$A97)</f>
        <v>0</v>
      </c>
      <c r="G97" cm="1">
        <f t="array" ref="G97">Q96+IF(ROW()-3&lt;2,0,INDEX(L:L,ROW()-3))</f>
        <v>6140</v>
      </c>
      <c r="H97" cm="1">
        <f t="array" ref="H97">R96+IF(ROW()-3&lt;2,0,INDEX(M:M,ROW()-3))</f>
        <v>15759</v>
      </c>
      <c r="I97" cm="1">
        <f t="array" ref="I97">S96+IF(ROW()-3&lt;2,0,INDEX(N:N,ROW()-3))</f>
        <v>2364</v>
      </c>
      <c r="J97" cm="1">
        <f t="array" ref="J97">T96+IF(ROW()-3&lt;2,0,INDEX(O:O,ROW()-3))</f>
        <v>2158</v>
      </c>
      <c r="K97" cm="1">
        <f t="array" ref="K97">U96+IF(ROW()-3&lt;2,0,INDEX(P:P,ROW()-3))</f>
        <v>1584</v>
      </c>
      <c r="L97">
        <f>IF(Q97&lt;_xlfn.XLOOKUP(L$1,Capacity!$D$3:$D$7,Capacity!$E$3:$E$7),_xlfn.XLOOKUP(L$1,Capacity!$D$3:$D$7,Capacity!$F$3:$F$7)-Q97,0)</f>
        <v>0</v>
      </c>
      <c r="M97">
        <f>IF(R97&lt;_xlfn.XLOOKUP(M$1,Capacity!$D$3:$D$7,Capacity!$E$3:$E$7),_xlfn.XLOOKUP(M$1,Capacity!$D$3:$D$7,Capacity!$F$3:$F$7)-R97,0)</f>
        <v>0</v>
      </c>
      <c r="N97">
        <f>IF(S97&lt;_xlfn.XLOOKUP(N$1,Capacity!$D$3:$D$7,Capacity!$E$3:$E$7),_xlfn.XLOOKUP(N$1,Capacity!$D$3:$D$7,Capacity!$F$3:$F$7)-S97,0)</f>
        <v>0</v>
      </c>
      <c r="O97">
        <f>IF(T97&lt;_xlfn.XLOOKUP(O$1,Capacity!$D$3:$D$7,Capacity!$E$3:$E$7),_xlfn.XLOOKUP(O$1,Capacity!$D$3:$D$7,Capacity!$F$3:$F$7)-T97,0)</f>
        <v>0</v>
      </c>
      <c r="P97">
        <f>IF(U97&lt;_xlfn.XLOOKUP(P$1,Capacity!$D$3:$D$7,Capacity!$E$3:$E$7),_xlfn.XLOOKUP(P$1,Capacity!$D$3:$D$7,Capacity!$F$3:$F$7)-U97,0)</f>
        <v>0</v>
      </c>
      <c r="Q97">
        <f t="shared" si="7"/>
        <v>6140</v>
      </c>
      <c r="R97">
        <f t="shared" si="8"/>
        <v>15759</v>
      </c>
      <c r="S97">
        <f t="shared" si="9"/>
        <v>2364</v>
      </c>
      <c r="T97">
        <f t="shared" si="10"/>
        <v>1524</v>
      </c>
      <c r="U97">
        <f t="shared" si="11"/>
        <v>1584</v>
      </c>
    </row>
    <row r="98" spans="1:21">
      <c r="A98" s="5">
        <f t="shared" si="12"/>
        <v>46119</v>
      </c>
      <c r="B98">
        <f>SUMIFS('Demand Projection'!$D$2:$D$169,'Demand Projection'!$B$2:$B$169,B$1,'Demand Projection'!$C$2:$C$169,$A98)</f>
        <v>1055</v>
      </c>
      <c r="C98">
        <f>SUMIFS('Demand Projection'!$D$2:$D$169,'Demand Projection'!$B$2:$B$169,C$1,'Demand Projection'!$C$2:$C$169,$A98)</f>
        <v>0</v>
      </c>
      <c r="D98">
        <f>SUMIFS('Demand Projection'!$D$2:$D$169,'Demand Projection'!$B$2:$B$169,D$1,'Demand Projection'!$C$2:$C$169,$A98)</f>
        <v>0</v>
      </c>
      <c r="E98">
        <f>SUMIFS('Demand Projection'!$D$2:$D$169,'Demand Projection'!$B$2:$B$169,E$1,'Demand Projection'!$C$2:$C$169,$A98)</f>
        <v>0</v>
      </c>
      <c r="F98">
        <f>SUMIFS('Demand Projection'!$D$2:$D$169,'Demand Projection'!$B$2:$B$169,F$1,'Demand Projection'!$C$2:$C$169,$A98)</f>
        <v>0</v>
      </c>
      <c r="G98" cm="1">
        <f t="array" ref="G98">Q97+IF(ROW()-3&lt;2,0,INDEX(L:L,ROW()-3))</f>
        <v>6140</v>
      </c>
      <c r="H98" cm="1">
        <f t="array" ref="H98">R97+IF(ROW()-3&lt;2,0,INDEX(M:M,ROW()-3))</f>
        <v>15759</v>
      </c>
      <c r="I98" cm="1">
        <f t="array" ref="I98">S97+IF(ROW()-3&lt;2,0,INDEX(N:N,ROW()-3))</f>
        <v>2364</v>
      </c>
      <c r="J98" cm="1">
        <f t="array" ref="J98">T97+IF(ROW()-3&lt;2,0,INDEX(O:O,ROW()-3))</f>
        <v>1524</v>
      </c>
      <c r="K98" cm="1">
        <f t="array" ref="K98">U97+IF(ROW()-3&lt;2,0,INDEX(P:P,ROW()-3))</f>
        <v>1584</v>
      </c>
      <c r="L98">
        <f>IF(Q98&lt;_xlfn.XLOOKUP(L$1,Capacity!$D$3:$D$7,Capacity!$E$3:$E$7),_xlfn.XLOOKUP(L$1,Capacity!$D$3:$D$7,Capacity!$F$3:$F$7)-Q98,0)</f>
        <v>0</v>
      </c>
      <c r="M98">
        <f>IF(R98&lt;_xlfn.XLOOKUP(M$1,Capacity!$D$3:$D$7,Capacity!$E$3:$E$7),_xlfn.XLOOKUP(M$1,Capacity!$D$3:$D$7,Capacity!$F$3:$F$7)-R98,0)</f>
        <v>0</v>
      </c>
      <c r="N98">
        <f>IF(S98&lt;_xlfn.XLOOKUP(N$1,Capacity!$D$3:$D$7,Capacity!$E$3:$E$7),_xlfn.XLOOKUP(N$1,Capacity!$D$3:$D$7,Capacity!$F$3:$F$7)-S98,0)</f>
        <v>0</v>
      </c>
      <c r="O98">
        <f>IF(T98&lt;_xlfn.XLOOKUP(O$1,Capacity!$D$3:$D$7,Capacity!$E$3:$E$7),_xlfn.XLOOKUP(O$1,Capacity!$D$3:$D$7,Capacity!$F$3:$F$7)-T98,0)</f>
        <v>0</v>
      </c>
      <c r="P98">
        <f>IF(U98&lt;_xlfn.XLOOKUP(P$1,Capacity!$D$3:$D$7,Capacity!$E$3:$E$7),_xlfn.XLOOKUP(P$1,Capacity!$D$3:$D$7,Capacity!$F$3:$F$7)-U98,0)</f>
        <v>0</v>
      </c>
      <c r="Q98">
        <f t="shared" si="7"/>
        <v>5085</v>
      </c>
      <c r="R98">
        <f t="shared" si="8"/>
        <v>15759</v>
      </c>
      <c r="S98">
        <f t="shared" si="9"/>
        <v>2364</v>
      </c>
      <c r="T98">
        <f t="shared" si="10"/>
        <v>1524</v>
      </c>
      <c r="U98">
        <f t="shared" si="11"/>
        <v>1584</v>
      </c>
    </row>
    <row r="99" spans="1:21">
      <c r="A99" s="5">
        <f t="shared" si="12"/>
        <v>46120</v>
      </c>
      <c r="B99">
        <f>SUMIFS('Demand Projection'!$D$2:$D$169,'Demand Projection'!$B$2:$B$169,B$1,'Demand Projection'!$C$2:$C$169,$A99)</f>
        <v>0</v>
      </c>
      <c r="C99">
        <f>SUMIFS('Demand Projection'!$D$2:$D$169,'Demand Projection'!$B$2:$B$169,C$1,'Demand Projection'!$C$2:$C$169,$A99)</f>
        <v>0</v>
      </c>
      <c r="D99">
        <f>SUMIFS('Demand Projection'!$D$2:$D$169,'Demand Projection'!$B$2:$B$169,D$1,'Demand Projection'!$C$2:$C$169,$A99)</f>
        <v>0</v>
      </c>
      <c r="E99">
        <f>SUMIFS('Demand Projection'!$D$2:$D$169,'Demand Projection'!$B$2:$B$169,E$1,'Demand Projection'!$C$2:$C$169,$A99)</f>
        <v>0</v>
      </c>
      <c r="F99">
        <f>SUMIFS('Demand Projection'!$D$2:$D$169,'Demand Projection'!$B$2:$B$169,F$1,'Demand Projection'!$C$2:$C$169,$A99)</f>
        <v>0</v>
      </c>
      <c r="G99" cm="1">
        <f t="array" ref="G99">Q98+IF(ROW()-3&lt;2,0,INDEX(L:L,ROW()-3))</f>
        <v>5085</v>
      </c>
      <c r="H99" cm="1">
        <f t="array" ref="H99">R98+IF(ROW()-3&lt;2,0,INDEX(M:M,ROW()-3))</f>
        <v>15759</v>
      </c>
      <c r="I99" cm="1">
        <f t="array" ref="I99">S98+IF(ROW()-3&lt;2,0,INDEX(N:N,ROW()-3))</f>
        <v>2364</v>
      </c>
      <c r="J99" cm="1">
        <f t="array" ref="J99">T98+IF(ROW()-3&lt;2,0,INDEX(O:O,ROW()-3))</f>
        <v>1524</v>
      </c>
      <c r="K99" cm="1">
        <f t="array" ref="K99">U98+IF(ROW()-3&lt;2,0,INDEX(P:P,ROW()-3))</f>
        <v>1584</v>
      </c>
      <c r="L99">
        <f>IF(Q99&lt;_xlfn.XLOOKUP(L$1,Capacity!$D$3:$D$7,Capacity!$E$3:$E$7),_xlfn.XLOOKUP(L$1,Capacity!$D$3:$D$7,Capacity!$F$3:$F$7)-Q99,0)</f>
        <v>0</v>
      </c>
      <c r="M99">
        <f>IF(R99&lt;_xlfn.XLOOKUP(M$1,Capacity!$D$3:$D$7,Capacity!$E$3:$E$7),_xlfn.XLOOKUP(M$1,Capacity!$D$3:$D$7,Capacity!$F$3:$F$7)-R99,0)</f>
        <v>0</v>
      </c>
      <c r="N99">
        <f>IF(S99&lt;_xlfn.XLOOKUP(N$1,Capacity!$D$3:$D$7,Capacity!$E$3:$E$7),_xlfn.XLOOKUP(N$1,Capacity!$D$3:$D$7,Capacity!$F$3:$F$7)-S99,0)</f>
        <v>0</v>
      </c>
      <c r="O99">
        <f>IF(T99&lt;_xlfn.XLOOKUP(O$1,Capacity!$D$3:$D$7,Capacity!$E$3:$E$7),_xlfn.XLOOKUP(O$1,Capacity!$D$3:$D$7,Capacity!$F$3:$F$7)-T99,0)</f>
        <v>0</v>
      </c>
      <c r="P99">
        <f>IF(U99&lt;_xlfn.XLOOKUP(P$1,Capacity!$D$3:$D$7,Capacity!$E$3:$E$7),_xlfn.XLOOKUP(P$1,Capacity!$D$3:$D$7,Capacity!$F$3:$F$7)-U99,0)</f>
        <v>0</v>
      </c>
      <c r="Q99">
        <f t="shared" si="7"/>
        <v>5085</v>
      </c>
      <c r="R99">
        <f t="shared" si="8"/>
        <v>15759</v>
      </c>
      <c r="S99">
        <f t="shared" si="9"/>
        <v>2364</v>
      </c>
      <c r="T99">
        <f t="shared" si="10"/>
        <v>1524</v>
      </c>
      <c r="U99">
        <f t="shared" si="11"/>
        <v>1584</v>
      </c>
    </row>
    <row r="100" spans="1:21">
      <c r="A100" s="5">
        <f t="shared" si="12"/>
        <v>46121</v>
      </c>
      <c r="B100">
        <f>SUMIFS('Demand Projection'!$D$2:$D$169,'Demand Projection'!$B$2:$B$169,B$1,'Demand Projection'!$C$2:$C$169,$A100)</f>
        <v>0</v>
      </c>
      <c r="C100">
        <f>SUMIFS('Demand Projection'!$D$2:$D$169,'Demand Projection'!$B$2:$B$169,C$1,'Demand Projection'!$C$2:$C$169,$A100)</f>
        <v>0</v>
      </c>
      <c r="D100">
        <f>SUMIFS('Demand Projection'!$D$2:$D$169,'Demand Projection'!$B$2:$B$169,D$1,'Demand Projection'!$C$2:$C$169,$A100)</f>
        <v>528</v>
      </c>
      <c r="E100">
        <f>SUMIFS('Demand Projection'!$D$2:$D$169,'Demand Projection'!$B$2:$B$169,E$1,'Demand Projection'!$C$2:$C$169,$A100)</f>
        <v>0</v>
      </c>
      <c r="F100">
        <f>SUMIFS('Demand Projection'!$D$2:$D$169,'Demand Projection'!$B$2:$B$169,F$1,'Demand Projection'!$C$2:$C$169,$A100)</f>
        <v>0</v>
      </c>
      <c r="G100" cm="1">
        <f t="array" ref="G100">Q99+IF(ROW()-3&lt;2,0,INDEX(L:L,ROW()-3))</f>
        <v>5085</v>
      </c>
      <c r="H100" cm="1">
        <f t="array" ref="H100">R99+IF(ROW()-3&lt;2,0,INDEX(M:M,ROW()-3))</f>
        <v>15759</v>
      </c>
      <c r="I100" cm="1">
        <f t="array" ref="I100">S99+IF(ROW()-3&lt;2,0,INDEX(N:N,ROW()-3))</f>
        <v>2364</v>
      </c>
      <c r="J100" cm="1">
        <f t="array" ref="J100">T99+IF(ROW()-3&lt;2,0,INDEX(O:O,ROW()-3))</f>
        <v>1524</v>
      </c>
      <c r="K100" cm="1">
        <f t="array" ref="K100">U99+IF(ROW()-3&lt;2,0,INDEX(P:P,ROW()-3))</f>
        <v>1584</v>
      </c>
      <c r="L100">
        <f>IF(Q100&lt;_xlfn.XLOOKUP(L$1,Capacity!$D$3:$D$7,Capacity!$E$3:$E$7),_xlfn.XLOOKUP(L$1,Capacity!$D$3:$D$7,Capacity!$F$3:$F$7)-Q100,0)</f>
        <v>0</v>
      </c>
      <c r="M100">
        <f>IF(R100&lt;_xlfn.XLOOKUP(M$1,Capacity!$D$3:$D$7,Capacity!$E$3:$E$7),_xlfn.XLOOKUP(M$1,Capacity!$D$3:$D$7,Capacity!$F$3:$F$7)-R100,0)</f>
        <v>0</v>
      </c>
      <c r="N100">
        <f>IF(S100&lt;_xlfn.XLOOKUP(N$1,Capacity!$D$3:$D$7,Capacity!$E$3:$E$7),_xlfn.XLOOKUP(N$1,Capacity!$D$3:$D$7,Capacity!$F$3:$F$7)-S100,0)</f>
        <v>0</v>
      </c>
      <c r="O100">
        <f>IF(T100&lt;_xlfn.XLOOKUP(O$1,Capacity!$D$3:$D$7,Capacity!$E$3:$E$7),_xlfn.XLOOKUP(O$1,Capacity!$D$3:$D$7,Capacity!$F$3:$F$7)-T100,0)</f>
        <v>0</v>
      </c>
      <c r="P100">
        <f>IF(U100&lt;_xlfn.XLOOKUP(P$1,Capacity!$D$3:$D$7,Capacity!$E$3:$E$7),_xlfn.XLOOKUP(P$1,Capacity!$D$3:$D$7,Capacity!$F$3:$F$7)-U100,0)</f>
        <v>0</v>
      </c>
      <c r="Q100">
        <f t="shared" si="7"/>
        <v>5085</v>
      </c>
      <c r="R100">
        <f t="shared" si="8"/>
        <v>15759</v>
      </c>
      <c r="S100">
        <f t="shared" si="9"/>
        <v>1836</v>
      </c>
      <c r="T100">
        <f t="shared" si="10"/>
        <v>1524</v>
      </c>
      <c r="U100">
        <f t="shared" si="11"/>
        <v>1584</v>
      </c>
    </row>
    <row r="101" spans="1:21">
      <c r="A101" s="5">
        <f t="shared" si="12"/>
        <v>46122</v>
      </c>
      <c r="B101">
        <f>SUMIFS('Demand Projection'!$D$2:$D$169,'Demand Projection'!$B$2:$B$169,B$1,'Demand Projection'!$C$2:$C$169,$A101)</f>
        <v>0</v>
      </c>
      <c r="C101">
        <f>SUMIFS('Demand Projection'!$D$2:$D$169,'Demand Projection'!$B$2:$B$169,C$1,'Demand Projection'!$C$2:$C$169,$A101)</f>
        <v>0</v>
      </c>
      <c r="D101">
        <f>SUMIFS('Demand Projection'!$D$2:$D$169,'Demand Projection'!$B$2:$B$169,D$1,'Demand Projection'!$C$2:$C$169,$A101)</f>
        <v>0</v>
      </c>
      <c r="E101">
        <f>SUMIFS('Demand Projection'!$D$2:$D$169,'Demand Projection'!$B$2:$B$169,E$1,'Demand Projection'!$C$2:$C$169,$A101)</f>
        <v>0</v>
      </c>
      <c r="F101">
        <f>SUMIFS('Demand Projection'!$D$2:$D$169,'Demand Projection'!$B$2:$B$169,F$1,'Demand Projection'!$C$2:$C$169,$A101)</f>
        <v>0</v>
      </c>
      <c r="G101" cm="1">
        <f t="array" ref="G101">Q100+IF(ROW()-3&lt;2,0,INDEX(L:L,ROW()-3))</f>
        <v>5085</v>
      </c>
      <c r="H101" cm="1">
        <f t="array" ref="H101">R100+IF(ROW()-3&lt;2,0,INDEX(M:M,ROW()-3))</f>
        <v>15759</v>
      </c>
      <c r="I101" cm="1">
        <f t="array" ref="I101">S100+IF(ROW()-3&lt;2,0,INDEX(N:N,ROW()-3))</f>
        <v>1836</v>
      </c>
      <c r="J101" cm="1">
        <f t="array" ref="J101">T100+IF(ROW()-3&lt;2,0,INDEX(O:O,ROW()-3))</f>
        <v>1524</v>
      </c>
      <c r="K101" cm="1">
        <f t="array" ref="K101">U100+IF(ROW()-3&lt;2,0,INDEX(P:P,ROW()-3))</f>
        <v>1584</v>
      </c>
      <c r="L101">
        <f>IF(Q101&lt;_xlfn.XLOOKUP(L$1,Capacity!$D$3:$D$7,Capacity!$E$3:$E$7),_xlfn.XLOOKUP(L$1,Capacity!$D$3:$D$7,Capacity!$F$3:$F$7)-Q101,0)</f>
        <v>0</v>
      </c>
      <c r="M101">
        <f>IF(R101&lt;_xlfn.XLOOKUP(M$1,Capacity!$D$3:$D$7,Capacity!$E$3:$E$7),_xlfn.XLOOKUP(M$1,Capacity!$D$3:$D$7,Capacity!$F$3:$F$7)-R101,0)</f>
        <v>0</v>
      </c>
      <c r="N101">
        <f>IF(S101&lt;_xlfn.XLOOKUP(N$1,Capacity!$D$3:$D$7,Capacity!$E$3:$E$7),_xlfn.XLOOKUP(N$1,Capacity!$D$3:$D$7,Capacity!$F$3:$F$7)-S101,0)</f>
        <v>0</v>
      </c>
      <c r="O101">
        <f>IF(T101&lt;_xlfn.XLOOKUP(O$1,Capacity!$D$3:$D$7,Capacity!$E$3:$E$7),_xlfn.XLOOKUP(O$1,Capacity!$D$3:$D$7,Capacity!$F$3:$F$7)-T101,0)</f>
        <v>0</v>
      </c>
      <c r="P101">
        <f>IF(U101&lt;_xlfn.XLOOKUP(P$1,Capacity!$D$3:$D$7,Capacity!$E$3:$E$7),_xlfn.XLOOKUP(P$1,Capacity!$D$3:$D$7,Capacity!$F$3:$F$7)-U101,0)</f>
        <v>0</v>
      </c>
      <c r="Q101">
        <f t="shared" si="7"/>
        <v>5085</v>
      </c>
      <c r="R101">
        <f t="shared" si="8"/>
        <v>15759</v>
      </c>
      <c r="S101">
        <f t="shared" si="9"/>
        <v>1836</v>
      </c>
      <c r="T101">
        <f t="shared" si="10"/>
        <v>1524</v>
      </c>
      <c r="U101">
        <f t="shared" si="11"/>
        <v>1584</v>
      </c>
    </row>
    <row r="102" spans="1:21">
      <c r="A102" s="5">
        <f t="shared" si="12"/>
        <v>46123</v>
      </c>
      <c r="B102">
        <f>SUMIFS('Demand Projection'!$D$2:$D$169,'Demand Projection'!$B$2:$B$169,B$1,'Demand Projection'!$C$2:$C$169,$A102)</f>
        <v>0</v>
      </c>
      <c r="C102">
        <f>SUMIFS('Demand Projection'!$D$2:$D$169,'Demand Projection'!$B$2:$B$169,C$1,'Demand Projection'!$C$2:$C$169,$A102)</f>
        <v>0</v>
      </c>
      <c r="D102">
        <f>SUMIFS('Demand Projection'!$D$2:$D$169,'Demand Projection'!$B$2:$B$169,D$1,'Demand Projection'!$C$2:$C$169,$A102)</f>
        <v>0</v>
      </c>
      <c r="E102">
        <f>SUMIFS('Demand Projection'!$D$2:$D$169,'Demand Projection'!$B$2:$B$169,E$1,'Demand Projection'!$C$2:$C$169,$A102)</f>
        <v>0</v>
      </c>
      <c r="F102">
        <f>SUMIFS('Demand Projection'!$D$2:$D$169,'Demand Projection'!$B$2:$B$169,F$1,'Demand Projection'!$C$2:$C$169,$A102)</f>
        <v>0</v>
      </c>
      <c r="G102" cm="1">
        <f t="array" ref="G102">Q101+IF(ROW()-3&lt;2,0,INDEX(L:L,ROW()-3))</f>
        <v>5085</v>
      </c>
      <c r="H102" cm="1">
        <f t="array" ref="H102">R101+IF(ROW()-3&lt;2,0,INDEX(M:M,ROW()-3))</f>
        <v>15759</v>
      </c>
      <c r="I102" cm="1">
        <f t="array" ref="I102">S101+IF(ROW()-3&lt;2,0,INDEX(N:N,ROW()-3))</f>
        <v>1836</v>
      </c>
      <c r="J102" cm="1">
        <f t="array" ref="J102">T101+IF(ROW()-3&lt;2,0,INDEX(O:O,ROW()-3))</f>
        <v>1524</v>
      </c>
      <c r="K102" cm="1">
        <f t="array" ref="K102">U101+IF(ROW()-3&lt;2,0,INDEX(P:P,ROW()-3))</f>
        <v>1584</v>
      </c>
      <c r="L102">
        <f>IF(Q102&lt;_xlfn.XLOOKUP(L$1,Capacity!$D$3:$D$7,Capacity!$E$3:$E$7),_xlfn.XLOOKUP(L$1,Capacity!$D$3:$D$7,Capacity!$F$3:$F$7)-Q102,0)</f>
        <v>0</v>
      </c>
      <c r="M102">
        <f>IF(R102&lt;_xlfn.XLOOKUP(M$1,Capacity!$D$3:$D$7,Capacity!$E$3:$E$7),_xlfn.XLOOKUP(M$1,Capacity!$D$3:$D$7,Capacity!$F$3:$F$7)-R102,0)</f>
        <v>0</v>
      </c>
      <c r="N102">
        <f>IF(S102&lt;_xlfn.XLOOKUP(N$1,Capacity!$D$3:$D$7,Capacity!$E$3:$E$7),_xlfn.XLOOKUP(N$1,Capacity!$D$3:$D$7,Capacity!$F$3:$F$7)-S102,0)</f>
        <v>0</v>
      </c>
      <c r="O102">
        <f>IF(T102&lt;_xlfn.XLOOKUP(O$1,Capacity!$D$3:$D$7,Capacity!$E$3:$E$7),_xlfn.XLOOKUP(O$1,Capacity!$D$3:$D$7,Capacity!$F$3:$F$7)-T102,0)</f>
        <v>0</v>
      </c>
      <c r="P102">
        <f>IF(U102&lt;_xlfn.XLOOKUP(P$1,Capacity!$D$3:$D$7,Capacity!$E$3:$E$7),_xlfn.XLOOKUP(P$1,Capacity!$D$3:$D$7,Capacity!$F$3:$F$7)-U102,0)</f>
        <v>0</v>
      </c>
      <c r="Q102">
        <f t="shared" si="7"/>
        <v>5085</v>
      </c>
      <c r="R102">
        <f t="shared" si="8"/>
        <v>15759</v>
      </c>
      <c r="S102">
        <f t="shared" si="9"/>
        <v>1836</v>
      </c>
      <c r="T102">
        <f t="shared" si="10"/>
        <v>1524</v>
      </c>
      <c r="U102">
        <f t="shared" si="11"/>
        <v>1584</v>
      </c>
    </row>
    <row r="103" spans="1:21">
      <c r="A103" s="5">
        <f t="shared" si="12"/>
        <v>46124</v>
      </c>
      <c r="B103">
        <f>SUMIFS('Demand Projection'!$D$2:$D$169,'Demand Projection'!$B$2:$B$169,B$1,'Demand Projection'!$C$2:$C$169,$A103)</f>
        <v>0</v>
      </c>
      <c r="C103">
        <f>SUMIFS('Demand Projection'!$D$2:$D$169,'Demand Projection'!$B$2:$B$169,C$1,'Demand Projection'!$C$2:$C$169,$A103)</f>
        <v>0</v>
      </c>
      <c r="D103">
        <f>SUMIFS('Demand Projection'!$D$2:$D$169,'Demand Projection'!$B$2:$B$169,D$1,'Demand Projection'!$C$2:$C$169,$A103)</f>
        <v>0</v>
      </c>
      <c r="E103">
        <f>SUMIFS('Demand Projection'!$D$2:$D$169,'Demand Projection'!$B$2:$B$169,E$1,'Demand Projection'!$C$2:$C$169,$A103)</f>
        <v>0</v>
      </c>
      <c r="F103">
        <f>SUMIFS('Demand Projection'!$D$2:$D$169,'Demand Projection'!$B$2:$B$169,F$1,'Demand Projection'!$C$2:$C$169,$A103)</f>
        <v>423</v>
      </c>
      <c r="G103" cm="1">
        <f t="array" ref="G103">Q102+IF(ROW()-3&lt;2,0,INDEX(L:L,ROW()-3))</f>
        <v>5085</v>
      </c>
      <c r="H103" cm="1">
        <f t="array" ref="H103">R102+IF(ROW()-3&lt;2,0,INDEX(M:M,ROW()-3))</f>
        <v>15759</v>
      </c>
      <c r="I103" cm="1">
        <f t="array" ref="I103">S102+IF(ROW()-3&lt;2,0,INDEX(N:N,ROW()-3))</f>
        <v>1836</v>
      </c>
      <c r="J103" cm="1">
        <f t="array" ref="J103">T102+IF(ROW()-3&lt;2,0,INDEX(O:O,ROW()-3))</f>
        <v>1524</v>
      </c>
      <c r="K103" cm="1">
        <f t="array" ref="K103">U102+IF(ROW()-3&lt;2,0,INDEX(P:P,ROW()-3))</f>
        <v>1584</v>
      </c>
      <c r="L103">
        <f>IF(Q103&lt;_xlfn.XLOOKUP(L$1,Capacity!$D$3:$D$7,Capacity!$E$3:$E$7),_xlfn.XLOOKUP(L$1,Capacity!$D$3:$D$7,Capacity!$F$3:$F$7)-Q103,0)</f>
        <v>0</v>
      </c>
      <c r="M103">
        <f>IF(R103&lt;_xlfn.XLOOKUP(M$1,Capacity!$D$3:$D$7,Capacity!$E$3:$E$7),_xlfn.XLOOKUP(M$1,Capacity!$D$3:$D$7,Capacity!$F$3:$F$7)-R103,0)</f>
        <v>0</v>
      </c>
      <c r="N103">
        <f>IF(S103&lt;_xlfn.XLOOKUP(N$1,Capacity!$D$3:$D$7,Capacity!$E$3:$E$7),_xlfn.XLOOKUP(N$1,Capacity!$D$3:$D$7,Capacity!$F$3:$F$7)-S103,0)</f>
        <v>0</v>
      </c>
      <c r="O103">
        <f>IF(T103&lt;_xlfn.XLOOKUP(O$1,Capacity!$D$3:$D$7,Capacity!$E$3:$E$7),_xlfn.XLOOKUP(O$1,Capacity!$D$3:$D$7,Capacity!$F$3:$F$7)-T103,0)</f>
        <v>0</v>
      </c>
      <c r="P103">
        <f>IF(U103&lt;_xlfn.XLOOKUP(P$1,Capacity!$D$3:$D$7,Capacity!$E$3:$E$7),_xlfn.XLOOKUP(P$1,Capacity!$D$3:$D$7,Capacity!$F$3:$F$7)-U103,0)</f>
        <v>0</v>
      </c>
      <c r="Q103">
        <f t="shared" si="7"/>
        <v>5085</v>
      </c>
      <c r="R103">
        <f t="shared" si="8"/>
        <v>15759</v>
      </c>
      <c r="S103">
        <f t="shared" si="9"/>
        <v>1836</v>
      </c>
      <c r="T103">
        <f t="shared" si="10"/>
        <v>1524</v>
      </c>
      <c r="U103">
        <f t="shared" si="11"/>
        <v>1161</v>
      </c>
    </row>
    <row r="104" spans="1:21">
      <c r="A104" s="5">
        <f t="shared" si="12"/>
        <v>46125</v>
      </c>
      <c r="B104">
        <f>SUMIFS('Demand Projection'!$D$2:$D$169,'Demand Projection'!$B$2:$B$169,B$1,'Demand Projection'!$C$2:$C$169,$A104)</f>
        <v>0</v>
      </c>
      <c r="C104">
        <f>SUMIFS('Demand Projection'!$D$2:$D$169,'Demand Projection'!$B$2:$B$169,C$1,'Demand Projection'!$C$2:$C$169,$A104)</f>
        <v>634</v>
      </c>
      <c r="D104">
        <f>SUMIFS('Demand Projection'!$D$2:$D$169,'Demand Projection'!$B$2:$B$169,D$1,'Demand Projection'!$C$2:$C$169,$A104)</f>
        <v>0</v>
      </c>
      <c r="E104">
        <f>SUMIFS('Demand Projection'!$D$2:$D$169,'Demand Projection'!$B$2:$B$169,E$1,'Demand Projection'!$C$2:$C$169,$A104)</f>
        <v>0</v>
      </c>
      <c r="F104">
        <f>SUMIFS('Demand Projection'!$D$2:$D$169,'Demand Projection'!$B$2:$B$169,F$1,'Demand Projection'!$C$2:$C$169,$A104)</f>
        <v>0</v>
      </c>
      <c r="G104" cm="1">
        <f t="array" ref="G104">Q103+IF(ROW()-3&lt;2,0,INDEX(L:L,ROW()-3))</f>
        <v>5085</v>
      </c>
      <c r="H104" cm="1">
        <f t="array" ref="H104">R103+IF(ROW()-3&lt;2,0,INDEX(M:M,ROW()-3))</f>
        <v>15759</v>
      </c>
      <c r="I104" cm="1">
        <f t="array" ref="I104">S103+IF(ROW()-3&lt;2,0,INDEX(N:N,ROW()-3))</f>
        <v>1836</v>
      </c>
      <c r="J104" cm="1">
        <f t="array" ref="J104">T103+IF(ROW()-3&lt;2,0,INDEX(O:O,ROW()-3))</f>
        <v>1524</v>
      </c>
      <c r="K104" cm="1">
        <f t="array" ref="K104">U103+IF(ROW()-3&lt;2,0,INDEX(P:P,ROW()-3))</f>
        <v>1161</v>
      </c>
      <c r="L104">
        <f>IF(Q104&lt;_xlfn.XLOOKUP(L$1,Capacity!$D$3:$D$7,Capacity!$E$3:$E$7),_xlfn.XLOOKUP(L$1,Capacity!$D$3:$D$7,Capacity!$F$3:$F$7)-Q104,0)</f>
        <v>0</v>
      </c>
      <c r="M104">
        <f>IF(R104&lt;_xlfn.XLOOKUP(M$1,Capacity!$D$3:$D$7,Capacity!$E$3:$E$7),_xlfn.XLOOKUP(M$1,Capacity!$D$3:$D$7,Capacity!$F$3:$F$7)-R104,0)</f>
        <v>0</v>
      </c>
      <c r="N104">
        <f>IF(S104&lt;_xlfn.XLOOKUP(N$1,Capacity!$D$3:$D$7,Capacity!$E$3:$E$7),_xlfn.XLOOKUP(N$1,Capacity!$D$3:$D$7,Capacity!$F$3:$F$7)-S104,0)</f>
        <v>0</v>
      </c>
      <c r="O104">
        <f>IF(T104&lt;_xlfn.XLOOKUP(O$1,Capacity!$D$3:$D$7,Capacity!$E$3:$E$7),_xlfn.XLOOKUP(O$1,Capacity!$D$3:$D$7,Capacity!$F$3:$F$7)-T104,0)</f>
        <v>0</v>
      </c>
      <c r="P104">
        <f>IF(U104&lt;_xlfn.XLOOKUP(P$1,Capacity!$D$3:$D$7,Capacity!$E$3:$E$7),_xlfn.XLOOKUP(P$1,Capacity!$D$3:$D$7,Capacity!$F$3:$F$7)-U104,0)</f>
        <v>0</v>
      </c>
      <c r="Q104">
        <f t="shared" si="7"/>
        <v>5085</v>
      </c>
      <c r="R104">
        <f t="shared" si="8"/>
        <v>15125</v>
      </c>
      <c r="S104">
        <f t="shared" si="9"/>
        <v>1836</v>
      </c>
      <c r="T104">
        <f t="shared" si="10"/>
        <v>1524</v>
      </c>
      <c r="U104">
        <f t="shared" si="11"/>
        <v>1161</v>
      </c>
    </row>
    <row r="105" spans="1:21">
      <c r="A105" s="5">
        <f t="shared" si="12"/>
        <v>46126</v>
      </c>
      <c r="B105">
        <f>SUMIFS('Demand Projection'!$D$2:$D$169,'Demand Projection'!$B$2:$B$169,B$1,'Demand Projection'!$C$2:$C$169,$A105)</f>
        <v>0</v>
      </c>
      <c r="C105">
        <f>SUMIFS('Demand Projection'!$D$2:$D$169,'Demand Projection'!$B$2:$B$169,C$1,'Demand Projection'!$C$2:$C$169,$A105)</f>
        <v>0</v>
      </c>
      <c r="D105">
        <f>SUMIFS('Demand Projection'!$D$2:$D$169,'Demand Projection'!$B$2:$B$169,D$1,'Demand Projection'!$C$2:$C$169,$A105)</f>
        <v>0</v>
      </c>
      <c r="E105">
        <f>SUMIFS('Demand Projection'!$D$2:$D$169,'Demand Projection'!$B$2:$B$169,E$1,'Demand Projection'!$C$2:$C$169,$A105)</f>
        <v>0</v>
      </c>
      <c r="F105">
        <f>SUMIFS('Demand Projection'!$D$2:$D$169,'Demand Projection'!$B$2:$B$169,F$1,'Demand Projection'!$C$2:$C$169,$A105)</f>
        <v>0</v>
      </c>
      <c r="G105" cm="1">
        <f t="array" ref="G105">Q104+IF(ROW()-3&lt;2,0,INDEX(L:L,ROW()-3))</f>
        <v>5085</v>
      </c>
      <c r="H105" cm="1">
        <f t="array" ref="H105">R104+IF(ROW()-3&lt;2,0,INDEX(M:M,ROW()-3))</f>
        <v>15125</v>
      </c>
      <c r="I105" cm="1">
        <f t="array" ref="I105">S104+IF(ROW()-3&lt;2,0,INDEX(N:N,ROW()-3))</f>
        <v>1836</v>
      </c>
      <c r="J105" cm="1">
        <f t="array" ref="J105">T104+IF(ROW()-3&lt;2,0,INDEX(O:O,ROW()-3))</f>
        <v>1524</v>
      </c>
      <c r="K105" cm="1">
        <f t="array" ref="K105">U104+IF(ROW()-3&lt;2,0,INDEX(P:P,ROW()-3))</f>
        <v>1161</v>
      </c>
      <c r="L105">
        <f>IF(Q105&lt;_xlfn.XLOOKUP(L$1,Capacity!$D$3:$D$7,Capacity!$E$3:$E$7),_xlfn.XLOOKUP(L$1,Capacity!$D$3:$D$7,Capacity!$F$3:$F$7)-Q105,0)</f>
        <v>0</v>
      </c>
      <c r="M105">
        <f>IF(R105&lt;_xlfn.XLOOKUP(M$1,Capacity!$D$3:$D$7,Capacity!$E$3:$E$7),_xlfn.XLOOKUP(M$1,Capacity!$D$3:$D$7,Capacity!$F$3:$F$7)-R105,0)</f>
        <v>0</v>
      </c>
      <c r="N105">
        <f>IF(S105&lt;_xlfn.XLOOKUP(N$1,Capacity!$D$3:$D$7,Capacity!$E$3:$E$7),_xlfn.XLOOKUP(N$1,Capacity!$D$3:$D$7,Capacity!$F$3:$F$7)-S105,0)</f>
        <v>0</v>
      </c>
      <c r="O105">
        <f>IF(T105&lt;_xlfn.XLOOKUP(O$1,Capacity!$D$3:$D$7,Capacity!$E$3:$E$7),_xlfn.XLOOKUP(O$1,Capacity!$D$3:$D$7,Capacity!$F$3:$F$7)-T105,0)</f>
        <v>0</v>
      </c>
      <c r="P105">
        <f>IF(U105&lt;_xlfn.XLOOKUP(P$1,Capacity!$D$3:$D$7,Capacity!$E$3:$E$7),_xlfn.XLOOKUP(P$1,Capacity!$D$3:$D$7,Capacity!$F$3:$F$7)-U105,0)</f>
        <v>0</v>
      </c>
      <c r="Q105">
        <f t="shared" si="7"/>
        <v>5085</v>
      </c>
      <c r="R105">
        <f t="shared" si="8"/>
        <v>15125</v>
      </c>
      <c r="S105">
        <f t="shared" si="9"/>
        <v>1836</v>
      </c>
      <c r="T105">
        <f t="shared" si="10"/>
        <v>1524</v>
      </c>
      <c r="U105">
        <f t="shared" si="11"/>
        <v>1161</v>
      </c>
    </row>
    <row r="106" spans="1:21">
      <c r="A106" s="5">
        <f t="shared" si="12"/>
        <v>46127</v>
      </c>
      <c r="B106">
        <f>SUMIFS('Demand Projection'!$D$2:$D$169,'Demand Projection'!$B$2:$B$169,B$1,'Demand Projection'!$C$2:$C$169,$A106)</f>
        <v>0</v>
      </c>
      <c r="C106">
        <f>SUMIFS('Demand Projection'!$D$2:$D$169,'Demand Projection'!$B$2:$B$169,C$1,'Demand Projection'!$C$2:$C$169,$A106)</f>
        <v>0</v>
      </c>
      <c r="D106">
        <f>SUMIFS('Demand Projection'!$D$2:$D$169,'Demand Projection'!$B$2:$B$169,D$1,'Demand Projection'!$C$2:$C$169,$A106)</f>
        <v>0</v>
      </c>
      <c r="E106">
        <f>SUMIFS('Demand Projection'!$D$2:$D$169,'Demand Projection'!$B$2:$B$169,E$1,'Demand Projection'!$C$2:$C$169,$A106)</f>
        <v>0</v>
      </c>
      <c r="F106">
        <f>SUMIFS('Demand Projection'!$D$2:$D$169,'Demand Projection'!$B$2:$B$169,F$1,'Demand Projection'!$C$2:$C$169,$A106)</f>
        <v>0</v>
      </c>
      <c r="G106" cm="1">
        <f t="array" ref="G106">Q105+IF(ROW()-3&lt;2,0,INDEX(L:L,ROW()-3))</f>
        <v>5085</v>
      </c>
      <c r="H106" cm="1">
        <f t="array" ref="H106">R105+IF(ROW()-3&lt;2,0,INDEX(M:M,ROW()-3))</f>
        <v>15125</v>
      </c>
      <c r="I106" cm="1">
        <f t="array" ref="I106">S105+IF(ROW()-3&lt;2,0,INDEX(N:N,ROW()-3))</f>
        <v>1836</v>
      </c>
      <c r="J106" cm="1">
        <f t="array" ref="J106">T105+IF(ROW()-3&lt;2,0,INDEX(O:O,ROW()-3))</f>
        <v>1524</v>
      </c>
      <c r="K106" cm="1">
        <f t="array" ref="K106">U105+IF(ROW()-3&lt;2,0,INDEX(P:P,ROW()-3))</f>
        <v>1161</v>
      </c>
      <c r="L106">
        <f>IF(Q106&lt;_xlfn.XLOOKUP(L$1,Capacity!$D$3:$D$7,Capacity!$E$3:$E$7),_xlfn.XLOOKUP(L$1,Capacity!$D$3:$D$7,Capacity!$F$3:$F$7)-Q106,0)</f>
        <v>0</v>
      </c>
      <c r="M106">
        <f>IF(R106&lt;_xlfn.XLOOKUP(M$1,Capacity!$D$3:$D$7,Capacity!$E$3:$E$7),_xlfn.XLOOKUP(M$1,Capacity!$D$3:$D$7,Capacity!$F$3:$F$7)-R106,0)</f>
        <v>0</v>
      </c>
      <c r="N106">
        <f>IF(S106&lt;_xlfn.XLOOKUP(N$1,Capacity!$D$3:$D$7,Capacity!$E$3:$E$7),_xlfn.XLOOKUP(N$1,Capacity!$D$3:$D$7,Capacity!$F$3:$F$7)-S106,0)</f>
        <v>0</v>
      </c>
      <c r="O106">
        <f>IF(T106&lt;_xlfn.XLOOKUP(O$1,Capacity!$D$3:$D$7,Capacity!$E$3:$E$7),_xlfn.XLOOKUP(O$1,Capacity!$D$3:$D$7,Capacity!$F$3:$F$7)-T106,0)</f>
        <v>0</v>
      </c>
      <c r="P106">
        <f>IF(U106&lt;_xlfn.XLOOKUP(P$1,Capacity!$D$3:$D$7,Capacity!$E$3:$E$7),_xlfn.XLOOKUP(P$1,Capacity!$D$3:$D$7,Capacity!$F$3:$F$7)-U106,0)</f>
        <v>0</v>
      </c>
      <c r="Q106">
        <f t="shared" si="7"/>
        <v>5085</v>
      </c>
      <c r="R106">
        <f t="shared" si="8"/>
        <v>15125</v>
      </c>
      <c r="S106">
        <f t="shared" si="9"/>
        <v>1836</v>
      </c>
      <c r="T106">
        <f t="shared" si="10"/>
        <v>1524</v>
      </c>
      <c r="U106">
        <f t="shared" si="11"/>
        <v>1161</v>
      </c>
    </row>
    <row r="107" spans="1:21">
      <c r="A107" s="5">
        <f t="shared" si="12"/>
        <v>46128</v>
      </c>
      <c r="B107">
        <f>SUMIFS('Demand Projection'!$D$2:$D$169,'Demand Projection'!$B$2:$B$169,B$1,'Demand Projection'!$C$2:$C$169,$A107)</f>
        <v>0</v>
      </c>
      <c r="C107">
        <f>SUMIFS('Demand Projection'!$D$2:$D$169,'Demand Projection'!$B$2:$B$169,C$1,'Demand Projection'!$C$2:$C$169,$A107)</f>
        <v>0</v>
      </c>
      <c r="D107">
        <f>SUMIFS('Demand Projection'!$D$2:$D$169,'Demand Projection'!$B$2:$B$169,D$1,'Demand Projection'!$C$2:$C$169,$A107)</f>
        <v>0</v>
      </c>
      <c r="E107">
        <f>SUMIFS('Demand Projection'!$D$2:$D$169,'Demand Projection'!$B$2:$B$169,E$1,'Demand Projection'!$C$2:$C$169,$A107)</f>
        <v>0</v>
      </c>
      <c r="F107">
        <f>SUMIFS('Demand Projection'!$D$2:$D$169,'Demand Projection'!$B$2:$B$169,F$1,'Demand Projection'!$C$2:$C$169,$A107)</f>
        <v>0</v>
      </c>
      <c r="G107" cm="1">
        <f t="array" ref="G107">Q106+IF(ROW()-3&lt;2,0,INDEX(L:L,ROW()-3))</f>
        <v>5085</v>
      </c>
      <c r="H107" cm="1">
        <f t="array" ref="H107">R106+IF(ROW()-3&lt;2,0,INDEX(M:M,ROW()-3))</f>
        <v>15125</v>
      </c>
      <c r="I107" cm="1">
        <f t="array" ref="I107">S106+IF(ROW()-3&lt;2,0,INDEX(N:N,ROW()-3))</f>
        <v>1836</v>
      </c>
      <c r="J107" cm="1">
        <f t="array" ref="J107">T106+IF(ROW()-3&lt;2,0,INDEX(O:O,ROW()-3))</f>
        <v>1524</v>
      </c>
      <c r="K107" cm="1">
        <f t="array" ref="K107">U106+IF(ROW()-3&lt;2,0,INDEX(P:P,ROW()-3))</f>
        <v>1161</v>
      </c>
      <c r="L107">
        <f>IF(Q107&lt;_xlfn.XLOOKUP(L$1,Capacity!$D$3:$D$7,Capacity!$E$3:$E$7),_xlfn.XLOOKUP(L$1,Capacity!$D$3:$D$7,Capacity!$F$3:$F$7)-Q107,0)</f>
        <v>0</v>
      </c>
      <c r="M107">
        <f>IF(R107&lt;_xlfn.XLOOKUP(M$1,Capacity!$D$3:$D$7,Capacity!$E$3:$E$7),_xlfn.XLOOKUP(M$1,Capacity!$D$3:$D$7,Capacity!$F$3:$F$7)-R107,0)</f>
        <v>0</v>
      </c>
      <c r="N107">
        <f>IF(S107&lt;_xlfn.XLOOKUP(N$1,Capacity!$D$3:$D$7,Capacity!$E$3:$E$7),_xlfn.XLOOKUP(N$1,Capacity!$D$3:$D$7,Capacity!$F$3:$F$7)-S107,0)</f>
        <v>0</v>
      </c>
      <c r="O107">
        <f>IF(T107&lt;_xlfn.XLOOKUP(O$1,Capacity!$D$3:$D$7,Capacity!$E$3:$E$7),_xlfn.XLOOKUP(O$1,Capacity!$D$3:$D$7,Capacity!$F$3:$F$7)-T107,0)</f>
        <v>0</v>
      </c>
      <c r="P107">
        <f>IF(U107&lt;_xlfn.XLOOKUP(P$1,Capacity!$D$3:$D$7,Capacity!$E$3:$E$7),_xlfn.XLOOKUP(P$1,Capacity!$D$3:$D$7,Capacity!$F$3:$F$7)-U107,0)</f>
        <v>0</v>
      </c>
      <c r="Q107">
        <f t="shared" si="7"/>
        <v>5085</v>
      </c>
      <c r="R107">
        <f t="shared" si="8"/>
        <v>15125</v>
      </c>
      <c r="S107">
        <f t="shared" si="9"/>
        <v>1836</v>
      </c>
      <c r="T107">
        <f t="shared" si="10"/>
        <v>1524</v>
      </c>
      <c r="U107">
        <f t="shared" si="11"/>
        <v>1161</v>
      </c>
    </row>
    <row r="108" spans="1:21">
      <c r="A108" s="5">
        <f t="shared" si="12"/>
        <v>46129</v>
      </c>
      <c r="B108">
        <f>SUMIFS('Demand Projection'!$D$2:$D$169,'Demand Projection'!$B$2:$B$169,B$1,'Demand Projection'!$C$2:$C$169,$A108)</f>
        <v>0</v>
      </c>
      <c r="C108">
        <f>SUMIFS('Demand Projection'!$D$2:$D$169,'Demand Projection'!$B$2:$B$169,C$1,'Demand Projection'!$C$2:$C$169,$A108)</f>
        <v>0</v>
      </c>
      <c r="D108">
        <f>SUMIFS('Demand Projection'!$D$2:$D$169,'Demand Projection'!$B$2:$B$169,D$1,'Demand Projection'!$C$2:$C$169,$A108)</f>
        <v>0</v>
      </c>
      <c r="E108">
        <f>SUMIFS('Demand Projection'!$D$2:$D$169,'Demand Projection'!$B$2:$B$169,E$1,'Demand Projection'!$C$2:$C$169,$A108)</f>
        <v>902</v>
      </c>
      <c r="F108">
        <f>SUMIFS('Demand Projection'!$D$2:$D$169,'Demand Projection'!$B$2:$B$169,F$1,'Demand Projection'!$C$2:$C$169,$A108)</f>
        <v>0</v>
      </c>
      <c r="G108" cm="1">
        <f t="array" ref="G108">Q107+IF(ROW()-3&lt;2,0,INDEX(L:L,ROW()-3))</f>
        <v>5085</v>
      </c>
      <c r="H108" cm="1">
        <f t="array" ref="H108">R107+IF(ROW()-3&lt;2,0,INDEX(M:M,ROW()-3))</f>
        <v>15125</v>
      </c>
      <c r="I108" cm="1">
        <f t="array" ref="I108">S107+IF(ROW()-3&lt;2,0,INDEX(N:N,ROW()-3))</f>
        <v>1836</v>
      </c>
      <c r="J108" cm="1">
        <f t="array" ref="J108">T107+IF(ROW()-3&lt;2,0,INDEX(O:O,ROW()-3))</f>
        <v>1524</v>
      </c>
      <c r="K108" cm="1">
        <f t="array" ref="K108">U107+IF(ROW()-3&lt;2,0,INDEX(P:P,ROW()-3))</f>
        <v>1161</v>
      </c>
      <c r="L108">
        <f>IF(Q108&lt;_xlfn.XLOOKUP(L$1,Capacity!$D$3:$D$7,Capacity!$E$3:$E$7),_xlfn.XLOOKUP(L$1,Capacity!$D$3:$D$7,Capacity!$F$3:$F$7)-Q108,0)</f>
        <v>0</v>
      </c>
      <c r="M108">
        <f>IF(R108&lt;_xlfn.XLOOKUP(M$1,Capacity!$D$3:$D$7,Capacity!$E$3:$E$7),_xlfn.XLOOKUP(M$1,Capacity!$D$3:$D$7,Capacity!$F$3:$F$7)-R108,0)</f>
        <v>0</v>
      </c>
      <c r="N108">
        <f>IF(S108&lt;_xlfn.XLOOKUP(N$1,Capacity!$D$3:$D$7,Capacity!$E$3:$E$7),_xlfn.XLOOKUP(N$1,Capacity!$D$3:$D$7,Capacity!$F$3:$F$7)-S108,0)</f>
        <v>0</v>
      </c>
      <c r="O108">
        <f>IF(T108&lt;_xlfn.XLOOKUP(O$1,Capacity!$D$3:$D$7,Capacity!$E$3:$E$7),_xlfn.XLOOKUP(O$1,Capacity!$D$3:$D$7,Capacity!$F$3:$F$7)-T108,0)</f>
        <v>0</v>
      </c>
      <c r="P108">
        <f>IF(U108&lt;_xlfn.XLOOKUP(P$1,Capacity!$D$3:$D$7,Capacity!$E$3:$E$7),_xlfn.XLOOKUP(P$1,Capacity!$D$3:$D$7,Capacity!$F$3:$F$7)-U108,0)</f>
        <v>0</v>
      </c>
      <c r="Q108">
        <f t="shared" si="7"/>
        <v>5085</v>
      </c>
      <c r="R108">
        <f t="shared" si="8"/>
        <v>15125</v>
      </c>
      <c r="S108">
        <f t="shared" si="9"/>
        <v>1836</v>
      </c>
      <c r="T108">
        <f t="shared" si="10"/>
        <v>622</v>
      </c>
      <c r="U108">
        <f t="shared" si="11"/>
        <v>1161</v>
      </c>
    </row>
    <row r="109" spans="1:21">
      <c r="A109" s="5">
        <f t="shared" si="12"/>
        <v>46130</v>
      </c>
      <c r="B109">
        <f>SUMIFS('Demand Projection'!$D$2:$D$169,'Demand Projection'!$B$2:$B$169,B$1,'Demand Projection'!$C$2:$C$169,$A109)</f>
        <v>0</v>
      </c>
      <c r="C109">
        <f>SUMIFS('Demand Projection'!$D$2:$D$169,'Demand Projection'!$B$2:$B$169,C$1,'Demand Projection'!$C$2:$C$169,$A109)</f>
        <v>0</v>
      </c>
      <c r="D109">
        <f>SUMIFS('Demand Projection'!$D$2:$D$169,'Demand Projection'!$B$2:$B$169,D$1,'Demand Projection'!$C$2:$C$169,$A109)</f>
        <v>0</v>
      </c>
      <c r="E109">
        <f>SUMIFS('Demand Projection'!$D$2:$D$169,'Demand Projection'!$B$2:$B$169,E$1,'Demand Projection'!$C$2:$C$169,$A109)</f>
        <v>0</v>
      </c>
      <c r="F109">
        <f>SUMIFS('Demand Projection'!$D$2:$D$169,'Demand Projection'!$B$2:$B$169,F$1,'Demand Projection'!$C$2:$C$169,$A109)</f>
        <v>0</v>
      </c>
      <c r="G109" cm="1">
        <f t="array" ref="G109">Q108+IF(ROW()-3&lt;2,0,INDEX(L:L,ROW()-3))</f>
        <v>5085</v>
      </c>
      <c r="H109" cm="1">
        <f t="array" ref="H109">R108+IF(ROW()-3&lt;2,0,INDEX(M:M,ROW()-3))</f>
        <v>15125</v>
      </c>
      <c r="I109" cm="1">
        <f t="array" ref="I109">S108+IF(ROW()-3&lt;2,0,INDEX(N:N,ROW()-3))</f>
        <v>1836</v>
      </c>
      <c r="J109" cm="1">
        <f t="array" ref="J109">T108+IF(ROW()-3&lt;2,0,INDEX(O:O,ROW()-3))</f>
        <v>622</v>
      </c>
      <c r="K109" cm="1">
        <f t="array" ref="K109">U108+IF(ROW()-3&lt;2,0,INDEX(P:P,ROW()-3))</f>
        <v>1161</v>
      </c>
      <c r="L109">
        <f>IF(Q109&lt;_xlfn.XLOOKUP(L$1,Capacity!$D$3:$D$7,Capacity!$E$3:$E$7),_xlfn.XLOOKUP(L$1,Capacity!$D$3:$D$7,Capacity!$F$3:$F$7)-Q109,0)</f>
        <v>0</v>
      </c>
      <c r="M109">
        <f>IF(R109&lt;_xlfn.XLOOKUP(M$1,Capacity!$D$3:$D$7,Capacity!$E$3:$E$7),_xlfn.XLOOKUP(M$1,Capacity!$D$3:$D$7,Capacity!$F$3:$F$7)-R109,0)</f>
        <v>0</v>
      </c>
      <c r="N109">
        <f>IF(S109&lt;_xlfn.XLOOKUP(N$1,Capacity!$D$3:$D$7,Capacity!$E$3:$E$7),_xlfn.XLOOKUP(N$1,Capacity!$D$3:$D$7,Capacity!$F$3:$F$7)-S109,0)</f>
        <v>0</v>
      </c>
      <c r="O109">
        <f>IF(T109&lt;_xlfn.XLOOKUP(O$1,Capacity!$D$3:$D$7,Capacity!$E$3:$E$7),_xlfn.XLOOKUP(O$1,Capacity!$D$3:$D$7,Capacity!$F$3:$F$7)-T109,0)</f>
        <v>0</v>
      </c>
      <c r="P109">
        <f>IF(U109&lt;_xlfn.XLOOKUP(P$1,Capacity!$D$3:$D$7,Capacity!$E$3:$E$7),_xlfn.XLOOKUP(P$1,Capacity!$D$3:$D$7,Capacity!$F$3:$F$7)-U109,0)</f>
        <v>0</v>
      </c>
      <c r="Q109">
        <f t="shared" si="7"/>
        <v>5085</v>
      </c>
      <c r="R109">
        <f t="shared" si="8"/>
        <v>15125</v>
      </c>
      <c r="S109">
        <f t="shared" si="9"/>
        <v>1836</v>
      </c>
      <c r="T109">
        <f t="shared" si="10"/>
        <v>622</v>
      </c>
      <c r="U109">
        <f t="shared" si="11"/>
        <v>1161</v>
      </c>
    </row>
    <row r="110" spans="1:21">
      <c r="A110" s="5">
        <f t="shared" si="12"/>
        <v>46131</v>
      </c>
      <c r="B110">
        <f>SUMIFS('Demand Projection'!$D$2:$D$169,'Demand Projection'!$B$2:$B$169,B$1,'Demand Projection'!$C$2:$C$169,$A110)</f>
        <v>0</v>
      </c>
      <c r="C110">
        <f>SUMIFS('Demand Projection'!$D$2:$D$169,'Demand Projection'!$B$2:$B$169,C$1,'Demand Projection'!$C$2:$C$169,$A110)</f>
        <v>0</v>
      </c>
      <c r="D110">
        <f>SUMIFS('Demand Projection'!$D$2:$D$169,'Demand Projection'!$B$2:$B$169,D$1,'Demand Projection'!$C$2:$C$169,$A110)</f>
        <v>0</v>
      </c>
      <c r="E110">
        <f>SUMIFS('Demand Projection'!$D$2:$D$169,'Demand Projection'!$B$2:$B$169,E$1,'Demand Projection'!$C$2:$C$169,$A110)</f>
        <v>0</v>
      </c>
      <c r="F110">
        <f>SUMIFS('Demand Projection'!$D$2:$D$169,'Demand Projection'!$B$2:$B$169,F$1,'Demand Projection'!$C$2:$C$169,$A110)</f>
        <v>0</v>
      </c>
      <c r="G110" cm="1">
        <f t="array" ref="G110">Q109+IF(ROW()-3&lt;2,0,INDEX(L:L,ROW()-3))</f>
        <v>5085</v>
      </c>
      <c r="H110" cm="1">
        <f t="array" ref="H110">R109+IF(ROW()-3&lt;2,0,INDEX(M:M,ROW()-3))</f>
        <v>15125</v>
      </c>
      <c r="I110" cm="1">
        <f t="array" ref="I110">S109+IF(ROW()-3&lt;2,0,INDEX(N:N,ROW()-3))</f>
        <v>1836</v>
      </c>
      <c r="J110" cm="1">
        <f t="array" ref="J110">T109+IF(ROW()-3&lt;2,0,INDEX(O:O,ROW()-3))</f>
        <v>622</v>
      </c>
      <c r="K110" cm="1">
        <f t="array" ref="K110">U109+IF(ROW()-3&lt;2,0,INDEX(P:P,ROW()-3))</f>
        <v>1161</v>
      </c>
      <c r="L110">
        <f>IF(Q110&lt;_xlfn.XLOOKUP(L$1,Capacity!$D$3:$D$7,Capacity!$E$3:$E$7),_xlfn.XLOOKUP(L$1,Capacity!$D$3:$D$7,Capacity!$F$3:$F$7)-Q110,0)</f>
        <v>0</v>
      </c>
      <c r="M110">
        <f>IF(R110&lt;_xlfn.XLOOKUP(M$1,Capacity!$D$3:$D$7,Capacity!$E$3:$E$7),_xlfn.XLOOKUP(M$1,Capacity!$D$3:$D$7,Capacity!$F$3:$F$7)-R110,0)</f>
        <v>0</v>
      </c>
      <c r="N110">
        <f>IF(S110&lt;_xlfn.XLOOKUP(N$1,Capacity!$D$3:$D$7,Capacity!$E$3:$E$7),_xlfn.XLOOKUP(N$1,Capacity!$D$3:$D$7,Capacity!$F$3:$F$7)-S110,0)</f>
        <v>0</v>
      </c>
      <c r="O110">
        <f>IF(T110&lt;_xlfn.XLOOKUP(O$1,Capacity!$D$3:$D$7,Capacity!$E$3:$E$7),_xlfn.XLOOKUP(O$1,Capacity!$D$3:$D$7,Capacity!$F$3:$F$7)-T110,0)</f>
        <v>0</v>
      </c>
      <c r="P110">
        <f>IF(U110&lt;_xlfn.XLOOKUP(P$1,Capacity!$D$3:$D$7,Capacity!$E$3:$E$7),_xlfn.XLOOKUP(P$1,Capacity!$D$3:$D$7,Capacity!$F$3:$F$7)-U110,0)</f>
        <v>0</v>
      </c>
      <c r="Q110">
        <f t="shared" si="7"/>
        <v>5085</v>
      </c>
      <c r="R110">
        <f t="shared" si="8"/>
        <v>15125</v>
      </c>
      <c r="S110">
        <f t="shared" si="9"/>
        <v>1836</v>
      </c>
      <c r="T110">
        <f t="shared" si="10"/>
        <v>622</v>
      </c>
      <c r="U110">
        <f t="shared" si="11"/>
        <v>1161</v>
      </c>
    </row>
    <row r="111" spans="1:21">
      <c r="A111" s="5">
        <f t="shared" si="12"/>
        <v>46132</v>
      </c>
      <c r="B111">
        <f>SUMIFS('Demand Projection'!$D$2:$D$169,'Demand Projection'!$B$2:$B$169,B$1,'Demand Projection'!$C$2:$C$169,$A111)</f>
        <v>0</v>
      </c>
      <c r="C111">
        <f>SUMIFS('Demand Projection'!$D$2:$D$169,'Demand Projection'!$B$2:$B$169,C$1,'Demand Projection'!$C$2:$C$169,$A111)</f>
        <v>0</v>
      </c>
      <c r="D111">
        <f>SUMIFS('Demand Projection'!$D$2:$D$169,'Demand Projection'!$B$2:$B$169,D$1,'Demand Projection'!$C$2:$C$169,$A111)</f>
        <v>830</v>
      </c>
      <c r="E111">
        <f>SUMIFS('Demand Projection'!$D$2:$D$169,'Demand Projection'!$B$2:$B$169,E$1,'Demand Projection'!$C$2:$C$169,$A111)</f>
        <v>0</v>
      </c>
      <c r="F111">
        <f>SUMIFS('Demand Projection'!$D$2:$D$169,'Demand Projection'!$B$2:$B$169,F$1,'Demand Projection'!$C$2:$C$169,$A111)</f>
        <v>0</v>
      </c>
      <c r="G111" cm="1">
        <f t="array" ref="G111">Q110+IF(ROW()-3&lt;2,0,INDEX(L:L,ROW()-3))</f>
        <v>5085</v>
      </c>
      <c r="H111" cm="1">
        <f t="array" ref="H111">R110+IF(ROW()-3&lt;2,0,INDEX(M:M,ROW()-3))</f>
        <v>15125</v>
      </c>
      <c r="I111" cm="1">
        <f t="array" ref="I111">S110+IF(ROW()-3&lt;2,0,INDEX(N:N,ROW()-3))</f>
        <v>1836</v>
      </c>
      <c r="J111" cm="1">
        <f t="array" ref="J111">T110+IF(ROW()-3&lt;2,0,INDEX(O:O,ROW()-3))</f>
        <v>622</v>
      </c>
      <c r="K111" cm="1">
        <f t="array" ref="K111">U110+IF(ROW()-3&lt;2,0,INDEX(P:P,ROW()-3))</f>
        <v>1161</v>
      </c>
      <c r="L111">
        <f>IF(Q111&lt;_xlfn.XLOOKUP(L$1,Capacity!$D$3:$D$7,Capacity!$E$3:$E$7),_xlfn.XLOOKUP(L$1,Capacity!$D$3:$D$7,Capacity!$F$3:$F$7)-Q111,0)</f>
        <v>0</v>
      </c>
      <c r="M111">
        <f>IF(R111&lt;_xlfn.XLOOKUP(M$1,Capacity!$D$3:$D$7,Capacity!$E$3:$E$7),_xlfn.XLOOKUP(M$1,Capacity!$D$3:$D$7,Capacity!$F$3:$F$7)-R111,0)</f>
        <v>0</v>
      </c>
      <c r="N111">
        <f>IF(S111&lt;_xlfn.XLOOKUP(N$1,Capacity!$D$3:$D$7,Capacity!$E$3:$E$7),_xlfn.XLOOKUP(N$1,Capacity!$D$3:$D$7,Capacity!$F$3:$F$7)-S111,0)</f>
        <v>0</v>
      </c>
      <c r="O111">
        <f>IF(T111&lt;_xlfn.XLOOKUP(O$1,Capacity!$D$3:$D$7,Capacity!$E$3:$E$7),_xlfn.XLOOKUP(O$1,Capacity!$D$3:$D$7,Capacity!$F$3:$F$7)-T111,0)</f>
        <v>0</v>
      </c>
      <c r="P111">
        <f>IF(U111&lt;_xlfn.XLOOKUP(P$1,Capacity!$D$3:$D$7,Capacity!$E$3:$E$7),_xlfn.XLOOKUP(P$1,Capacity!$D$3:$D$7,Capacity!$F$3:$F$7)-U111,0)</f>
        <v>0</v>
      </c>
      <c r="Q111">
        <f t="shared" si="7"/>
        <v>5085</v>
      </c>
      <c r="R111">
        <f t="shared" si="8"/>
        <v>15125</v>
      </c>
      <c r="S111">
        <f t="shared" si="9"/>
        <v>1006</v>
      </c>
      <c r="T111">
        <f t="shared" si="10"/>
        <v>622</v>
      </c>
      <c r="U111">
        <f t="shared" si="11"/>
        <v>1161</v>
      </c>
    </row>
    <row r="112" spans="1:21">
      <c r="A112" s="5">
        <f t="shared" si="12"/>
        <v>46133</v>
      </c>
      <c r="B112">
        <f>SUMIFS('Demand Projection'!$D$2:$D$169,'Demand Projection'!$B$2:$B$169,B$1,'Demand Projection'!$C$2:$C$169,$A112)</f>
        <v>0</v>
      </c>
      <c r="C112">
        <f>SUMIFS('Demand Projection'!$D$2:$D$169,'Demand Projection'!$B$2:$B$169,C$1,'Demand Projection'!$C$2:$C$169,$A112)</f>
        <v>0</v>
      </c>
      <c r="D112">
        <f>SUMIFS('Demand Projection'!$D$2:$D$169,'Demand Projection'!$B$2:$B$169,D$1,'Demand Projection'!$C$2:$C$169,$A112)</f>
        <v>0</v>
      </c>
      <c r="E112">
        <f>SUMIFS('Demand Projection'!$D$2:$D$169,'Demand Projection'!$B$2:$B$169,E$1,'Demand Projection'!$C$2:$C$169,$A112)</f>
        <v>0</v>
      </c>
      <c r="F112">
        <f>SUMIFS('Demand Projection'!$D$2:$D$169,'Demand Projection'!$B$2:$B$169,F$1,'Demand Projection'!$C$2:$C$169,$A112)</f>
        <v>0</v>
      </c>
      <c r="G112" cm="1">
        <f t="array" ref="G112">Q111+IF(ROW()-3&lt;2,0,INDEX(L:L,ROW()-3))</f>
        <v>5085</v>
      </c>
      <c r="H112" cm="1">
        <f t="array" ref="H112">R111+IF(ROW()-3&lt;2,0,INDEX(M:M,ROW()-3))</f>
        <v>15125</v>
      </c>
      <c r="I112" cm="1">
        <f t="array" ref="I112">S111+IF(ROW()-3&lt;2,0,INDEX(N:N,ROW()-3))</f>
        <v>1006</v>
      </c>
      <c r="J112" cm="1">
        <f t="array" ref="J112">T111+IF(ROW()-3&lt;2,0,INDEX(O:O,ROW()-3))</f>
        <v>622</v>
      </c>
      <c r="K112" cm="1">
        <f t="array" ref="K112">U111+IF(ROW()-3&lt;2,0,INDEX(P:P,ROW()-3))</f>
        <v>1161</v>
      </c>
      <c r="L112">
        <f>IF(Q112&lt;_xlfn.XLOOKUP(L$1,Capacity!$D$3:$D$7,Capacity!$E$3:$E$7),_xlfn.XLOOKUP(L$1,Capacity!$D$3:$D$7,Capacity!$F$3:$F$7)-Q112,0)</f>
        <v>0</v>
      </c>
      <c r="M112">
        <f>IF(R112&lt;_xlfn.XLOOKUP(M$1,Capacity!$D$3:$D$7,Capacity!$E$3:$E$7),_xlfn.XLOOKUP(M$1,Capacity!$D$3:$D$7,Capacity!$F$3:$F$7)-R112,0)</f>
        <v>0</v>
      </c>
      <c r="N112">
        <f>IF(S112&lt;_xlfn.XLOOKUP(N$1,Capacity!$D$3:$D$7,Capacity!$E$3:$E$7),_xlfn.XLOOKUP(N$1,Capacity!$D$3:$D$7,Capacity!$F$3:$F$7)-S112,0)</f>
        <v>0</v>
      </c>
      <c r="O112">
        <f>IF(T112&lt;_xlfn.XLOOKUP(O$1,Capacity!$D$3:$D$7,Capacity!$E$3:$E$7),_xlfn.XLOOKUP(O$1,Capacity!$D$3:$D$7,Capacity!$F$3:$F$7)-T112,0)</f>
        <v>0</v>
      </c>
      <c r="P112">
        <f>IF(U112&lt;_xlfn.XLOOKUP(P$1,Capacity!$D$3:$D$7,Capacity!$E$3:$E$7),_xlfn.XLOOKUP(P$1,Capacity!$D$3:$D$7,Capacity!$F$3:$F$7)-U112,0)</f>
        <v>0</v>
      </c>
      <c r="Q112">
        <f t="shared" si="7"/>
        <v>5085</v>
      </c>
      <c r="R112">
        <f t="shared" si="8"/>
        <v>15125</v>
      </c>
      <c r="S112">
        <f t="shared" si="9"/>
        <v>1006</v>
      </c>
      <c r="T112">
        <f t="shared" si="10"/>
        <v>622</v>
      </c>
      <c r="U112">
        <f t="shared" si="11"/>
        <v>1161</v>
      </c>
    </row>
    <row r="113" spans="1:21">
      <c r="A113" s="5">
        <f t="shared" si="12"/>
        <v>46134</v>
      </c>
      <c r="B113">
        <f>SUMIFS('Demand Projection'!$D$2:$D$169,'Demand Projection'!$B$2:$B$169,B$1,'Demand Projection'!$C$2:$C$169,$A113)</f>
        <v>0</v>
      </c>
      <c r="C113">
        <f>SUMIFS('Demand Projection'!$D$2:$D$169,'Demand Projection'!$B$2:$B$169,C$1,'Demand Projection'!$C$2:$C$169,$A113)</f>
        <v>0</v>
      </c>
      <c r="D113">
        <f>SUMIFS('Demand Projection'!$D$2:$D$169,'Demand Projection'!$B$2:$B$169,D$1,'Demand Projection'!$C$2:$C$169,$A113)</f>
        <v>0</v>
      </c>
      <c r="E113">
        <f>SUMIFS('Demand Projection'!$D$2:$D$169,'Demand Projection'!$B$2:$B$169,E$1,'Demand Projection'!$C$2:$C$169,$A113)</f>
        <v>0</v>
      </c>
      <c r="F113">
        <f>SUMIFS('Demand Projection'!$D$2:$D$169,'Demand Projection'!$B$2:$B$169,F$1,'Demand Projection'!$C$2:$C$169,$A113)</f>
        <v>0</v>
      </c>
      <c r="G113" cm="1">
        <f t="array" ref="G113">Q112+IF(ROW()-3&lt;2,0,INDEX(L:L,ROW()-3))</f>
        <v>5085</v>
      </c>
      <c r="H113" cm="1">
        <f t="array" ref="H113">R112+IF(ROW()-3&lt;2,0,INDEX(M:M,ROW()-3))</f>
        <v>15125</v>
      </c>
      <c r="I113" cm="1">
        <f t="array" ref="I113">S112+IF(ROW()-3&lt;2,0,INDEX(N:N,ROW()-3))</f>
        <v>1006</v>
      </c>
      <c r="J113" cm="1">
        <f t="array" ref="J113">T112+IF(ROW()-3&lt;2,0,INDEX(O:O,ROW()-3))</f>
        <v>622</v>
      </c>
      <c r="K113" cm="1">
        <f t="array" ref="K113">U112+IF(ROW()-3&lt;2,0,INDEX(P:P,ROW()-3))</f>
        <v>1161</v>
      </c>
      <c r="L113">
        <f>IF(Q113&lt;_xlfn.XLOOKUP(L$1,Capacity!$D$3:$D$7,Capacity!$E$3:$E$7),_xlfn.XLOOKUP(L$1,Capacity!$D$3:$D$7,Capacity!$F$3:$F$7)-Q113,0)</f>
        <v>0</v>
      </c>
      <c r="M113">
        <f>IF(R113&lt;_xlfn.XLOOKUP(M$1,Capacity!$D$3:$D$7,Capacity!$E$3:$E$7),_xlfn.XLOOKUP(M$1,Capacity!$D$3:$D$7,Capacity!$F$3:$F$7)-R113,0)</f>
        <v>0</v>
      </c>
      <c r="N113">
        <f>IF(S113&lt;_xlfn.XLOOKUP(N$1,Capacity!$D$3:$D$7,Capacity!$E$3:$E$7),_xlfn.XLOOKUP(N$1,Capacity!$D$3:$D$7,Capacity!$F$3:$F$7)-S113,0)</f>
        <v>0</v>
      </c>
      <c r="O113">
        <f>IF(T113&lt;_xlfn.XLOOKUP(O$1,Capacity!$D$3:$D$7,Capacity!$E$3:$E$7),_xlfn.XLOOKUP(O$1,Capacity!$D$3:$D$7,Capacity!$F$3:$F$7)-T113,0)</f>
        <v>0</v>
      </c>
      <c r="P113">
        <f>IF(U113&lt;_xlfn.XLOOKUP(P$1,Capacity!$D$3:$D$7,Capacity!$E$3:$E$7),_xlfn.XLOOKUP(P$1,Capacity!$D$3:$D$7,Capacity!$F$3:$F$7)-U113,0)</f>
        <v>0</v>
      </c>
      <c r="Q113">
        <f t="shared" si="7"/>
        <v>5085</v>
      </c>
      <c r="R113">
        <f t="shared" si="8"/>
        <v>15125</v>
      </c>
      <c r="S113">
        <f t="shared" si="9"/>
        <v>1006</v>
      </c>
      <c r="T113">
        <f t="shared" si="10"/>
        <v>622</v>
      </c>
      <c r="U113">
        <f t="shared" si="11"/>
        <v>1161</v>
      </c>
    </row>
    <row r="114" spans="1:21">
      <c r="A114" s="5">
        <f t="shared" si="12"/>
        <v>46135</v>
      </c>
      <c r="B114">
        <f>SUMIFS('Demand Projection'!$D$2:$D$169,'Demand Projection'!$B$2:$B$169,B$1,'Demand Projection'!$C$2:$C$169,$A114)</f>
        <v>0</v>
      </c>
      <c r="C114">
        <f>SUMIFS('Demand Projection'!$D$2:$D$169,'Demand Projection'!$B$2:$B$169,C$1,'Demand Projection'!$C$2:$C$169,$A114)</f>
        <v>0</v>
      </c>
      <c r="D114">
        <f>SUMIFS('Demand Projection'!$D$2:$D$169,'Demand Projection'!$B$2:$B$169,D$1,'Demand Projection'!$C$2:$C$169,$A114)</f>
        <v>0</v>
      </c>
      <c r="E114">
        <f>SUMIFS('Demand Projection'!$D$2:$D$169,'Demand Projection'!$B$2:$B$169,E$1,'Demand Projection'!$C$2:$C$169,$A114)</f>
        <v>0</v>
      </c>
      <c r="F114">
        <f>SUMIFS('Demand Projection'!$D$2:$D$169,'Demand Projection'!$B$2:$B$169,F$1,'Demand Projection'!$C$2:$C$169,$A114)</f>
        <v>0</v>
      </c>
      <c r="G114" cm="1">
        <f t="array" ref="G114">Q113+IF(ROW()-3&lt;2,0,INDEX(L:L,ROW()-3))</f>
        <v>5085</v>
      </c>
      <c r="H114" cm="1">
        <f t="array" ref="H114">R113+IF(ROW()-3&lt;2,0,INDEX(M:M,ROW()-3))</f>
        <v>15125</v>
      </c>
      <c r="I114" cm="1">
        <f t="array" ref="I114">S113+IF(ROW()-3&lt;2,0,INDEX(N:N,ROW()-3))</f>
        <v>1006</v>
      </c>
      <c r="J114" cm="1">
        <f t="array" ref="J114">T113+IF(ROW()-3&lt;2,0,INDEX(O:O,ROW()-3))</f>
        <v>622</v>
      </c>
      <c r="K114" cm="1">
        <f t="array" ref="K114">U113+IF(ROW()-3&lt;2,0,INDEX(P:P,ROW()-3))</f>
        <v>1161</v>
      </c>
      <c r="L114">
        <f>IF(Q114&lt;_xlfn.XLOOKUP(L$1,Capacity!$D$3:$D$7,Capacity!$E$3:$E$7),_xlfn.XLOOKUP(L$1,Capacity!$D$3:$D$7,Capacity!$F$3:$F$7)-Q114,0)</f>
        <v>0</v>
      </c>
      <c r="M114">
        <f>IF(R114&lt;_xlfn.XLOOKUP(M$1,Capacity!$D$3:$D$7,Capacity!$E$3:$E$7),_xlfn.XLOOKUP(M$1,Capacity!$D$3:$D$7,Capacity!$F$3:$F$7)-R114,0)</f>
        <v>0</v>
      </c>
      <c r="N114">
        <f>IF(S114&lt;_xlfn.XLOOKUP(N$1,Capacity!$D$3:$D$7,Capacity!$E$3:$E$7),_xlfn.XLOOKUP(N$1,Capacity!$D$3:$D$7,Capacity!$F$3:$F$7)-S114,0)</f>
        <v>0</v>
      </c>
      <c r="O114">
        <f>IF(T114&lt;_xlfn.XLOOKUP(O$1,Capacity!$D$3:$D$7,Capacity!$E$3:$E$7),_xlfn.XLOOKUP(O$1,Capacity!$D$3:$D$7,Capacity!$F$3:$F$7)-T114,0)</f>
        <v>0</v>
      </c>
      <c r="P114">
        <f>IF(U114&lt;_xlfn.XLOOKUP(P$1,Capacity!$D$3:$D$7,Capacity!$E$3:$E$7),_xlfn.XLOOKUP(P$1,Capacity!$D$3:$D$7,Capacity!$F$3:$F$7)-U114,0)</f>
        <v>0</v>
      </c>
      <c r="Q114">
        <f t="shared" si="7"/>
        <v>5085</v>
      </c>
      <c r="R114">
        <f t="shared" si="8"/>
        <v>15125</v>
      </c>
      <c r="S114">
        <f t="shared" si="9"/>
        <v>1006</v>
      </c>
      <c r="T114">
        <f t="shared" si="10"/>
        <v>622</v>
      </c>
      <c r="U114">
        <f t="shared" si="11"/>
        <v>1161</v>
      </c>
    </row>
    <row r="115" spans="1:21">
      <c r="A115" s="5">
        <f t="shared" si="12"/>
        <v>46136</v>
      </c>
      <c r="B115">
        <f>SUMIFS('Demand Projection'!$D$2:$D$169,'Demand Projection'!$B$2:$B$169,B$1,'Demand Projection'!$C$2:$C$169,$A115)</f>
        <v>1038</v>
      </c>
      <c r="C115">
        <f>SUMIFS('Demand Projection'!$D$2:$D$169,'Demand Projection'!$B$2:$B$169,C$1,'Demand Projection'!$C$2:$C$169,$A115)</f>
        <v>0</v>
      </c>
      <c r="D115">
        <f>SUMIFS('Demand Projection'!$D$2:$D$169,'Demand Projection'!$B$2:$B$169,D$1,'Demand Projection'!$C$2:$C$169,$A115)</f>
        <v>0</v>
      </c>
      <c r="E115">
        <f>SUMIFS('Demand Projection'!$D$2:$D$169,'Demand Projection'!$B$2:$B$169,E$1,'Demand Projection'!$C$2:$C$169,$A115)</f>
        <v>0</v>
      </c>
      <c r="F115">
        <f>SUMIFS('Demand Projection'!$D$2:$D$169,'Demand Projection'!$B$2:$B$169,F$1,'Demand Projection'!$C$2:$C$169,$A115)</f>
        <v>0</v>
      </c>
      <c r="G115" cm="1">
        <f t="array" ref="G115">Q114+IF(ROW()-3&lt;2,0,INDEX(L:L,ROW()-3))</f>
        <v>5085</v>
      </c>
      <c r="H115" cm="1">
        <f t="array" ref="H115">R114+IF(ROW()-3&lt;2,0,INDEX(M:M,ROW()-3))</f>
        <v>15125</v>
      </c>
      <c r="I115" cm="1">
        <f t="array" ref="I115">S114+IF(ROW()-3&lt;2,0,INDEX(N:N,ROW()-3))</f>
        <v>1006</v>
      </c>
      <c r="J115" cm="1">
        <f t="array" ref="J115">T114+IF(ROW()-3&lt;2,0,INDEX(O:O,ROW()-3))</f>
        <v>622</v>
      </c>
      <c r="K115" cm="1">
        <f t="array" ref="K115">U114+IF(ROW()-3&lt;2,0,INDEX(P:P,ROW()-3))</f>
        <v>1161</v>
      </c>
      <c r="L115">
        <f>IF(Q115&lt;_xlfn.XLOOKUP(L$1,Capacity!$D$3:$D$7,Capacity!$E$3:$E$7),_xlfn.XLOOKUP(L$1,Capacity!$D$3:$D$7,Capacity!$F$3:$F$7)-Q115,0)</f>
        <v>0</v>
      </c>
      <c r="M115">
        <f>IF(R115&lt;_xlfn.XLOOKUP(M$1,Capacity!$D$3:$D$7,Capacity!$E$3:$E$7),_xlfn.XLOOKUP(M$1,Capacity!$D$3:$D$7,Capacity!$F$3:$F$7)-R115,0)</f>
        <v>0</v>
      </c>
      <c r="N115">
        <f>IF(S115&lt;_xlfn.XLOOKUP(N$1,Capacity!$D$3:$D$7,Capacity!$E$3:$E$7),_xlfn.XLOOKUP(N$1,Capacity!$D$3:$D$7,Capacity!$F$3:$F$7)-S115,0)</f>
        <v>0</v>
      </c>
      <c r="O115">
        <f>IF(T115&lt;_xlfn.XLOOKUP(O$1,Capacity!$D$3:$D$7,Capacity!$E$3:$E$7),_xlfn.XLOOKUP(O$1,Capacity!$D$3:$D$7,Capacity!$F$3:$F$7)-T115,0)</f>
        <v>0</v>
      </c>
      <c r="P115">
        <f>IF(U115&lt;_xlfn.XLOOKUP(P$1,Capacity!$D$3:$D$7,Capacity!$E$3:$E$7),_xlfn.XLOOKUP(P$1,Capacity!$D$3:$D$7,Capacity!$F$3:$F$7)-U115,0)</f>
        <v>0</v>
      </c>
      <c r="Q115">
        <f t="shared" si="7"/>
        <v>4047</v>
      </c>
      <c r="R115">
        <f t="shared" si="8"/>
        <v>15125</v>
      </c>
      <c r="S115">
        <f t="shared" si="9"/>
        <v>1006</v>
      </c>
      <c r="T115">
        <f t="shared" si="10"/>
        <v>622</v>
      </c>
      <c r="U115">
        <f t="shared" si="11"/>
        <v>1161</v>
      </c>
    </row>
    <row r="116" spans="1:21">
      <c r="A116" s="5">
        <f t="shared" si="12"/>
        <v>46137</v>
      </c>
      <c r="B116">
        <f>SUMIFS('Demand Projection'!$D$2:$D$169,'Demand Projection'!$B$2:$B$169,B$1,'Demand Projection'!$C$2:$C$169,$A116)</f>
        <v>0</v>
      </c>
      <c r="C116">
        <f>SUMIFS('Demand Projection'!$D$2:$D$169,'Demand Projection'!$B$2:$B$169,C$1,'Demand Projection'!$C$2:$C$169,$A116)</f>
        <v>0</v>
      </c>
      <c r="D116">
        <f>SUMIFS('Demand Projection'!$D$2:$D$169,'Demand Projection'!$B$2:$B$169,D$1,'Demand Projection'!$C$2:$C$169,$A116)</f>
        <v>0</v>
      </c>
      <c r="E116">
        <f>SUMIFS('Demand Projection'!$D$2:$D$169,'Demand Projection'!$B$2:$B$169,E$1,'Demand Projection'!$C$2:$C$169,$A116)</f>
        <v>0</v>
      </c>
      <c r="F116">
        <f>SUMIFS('Demand Projection'!$D$2:$D$169,'Demand Projection'!$B$2:$B$169,F$1,'Demand Projection'!$C$2:$C$169,$A116)</f>
        <v>0</v>
      </c>
      <c r="G116" cm="1">
        <f t="array" ref="G116">Q115+IF(ROW()-3&lt;2,0,INDEX(L:L,ROW()-3))</f>
        <v>4047</v>
      </c>
      <c r="H116" cm="1">
        <f t="array" ref="H116">R115+IF(ROW()-3&lt;2,0,INDEX(M:M,ROW()-3))</f>
        <v>15125</v>
      </c>
      <c r="I116" cm="1">
        <f t="array" ref="I116">S115+IF(ROW()-3&lt;2,0,INDEX(N:N,ROW()-3))</f>
        <v>1006</v>
      </c>
      <c r="J116" cm="1">
        <f t="array" ref="J116">T115+IF(ROW()-3&lt;2,0,INDEX(O:O,ROW()-3))</f>
        <v>622</v>
      </c>
      <c r="K116" cm="1">
        <f t="array" ref="K116">U115+IF(ROW()-3&lt;2,0,INDEX(P:P,ROW()-3))</f>
        <v>1161</v>
      </c>
      <c r="L116">
        <f>IF(Q116&lt;_xlfn.XLOOKUP(L$1,Capacity!$D$3:$D$7,Capacity!$E$3:$E$7),_xlfn.XLOOKUP(L$1,Capacity!$D$3:$D$7,Capacity!$F$3:$F$7)-Q116,0)</f>
        <v>0</v>
      </c>
      <c r="M116">
        <f>IF(R116&lt;_xlfn.XLOOKUP(M$1,Capacity!$D$3:$D$7,Capacity!$E$3:$E$7),_xlfn.XLOOKUP(M$1,Capacity!$D$3:$D$7,Capacity!$F$3:$F$7)-R116,0)</f>
        <v>0</v>
      </c>
      <c r="N116">
        <f>IF(S116&lt;_xlfn.XLOOKUP(N$1,Capacity!$D$3:$D$7,Capacity!$E$3:$E$7),_xlfn.XLOOKUP(N$1,Capacity!$D$3:$D$7,Capacity!$F$3:$F$7)-S116,0)</f>
        <v>0</v>
      </c>
      <c r="O116">
        <f>IF(T116&lt;_xlfn.XLOOKUP(O$1,Capacity!$D$3:$D$7,Capacity!$E$3:$E$7),_xlfn.XLOOKUP(O$1,Capacity!$D$3:$D$7,Capacity!$F$3:$F$7)-T116,0)</f>
        <v>0</v>
      </c>
      <c r="P116">
        <f>IF(U116&lt;_xlfn.XLOOKUP(P$1,Capacity!$D$3:$D$7,Capacity!$E$3:$E$7),_xlfn.XLOOKUP(P$1,Capacity!$D$3:$D$7,Capacity!$F$3:$F$7)-U116,0)</f>
        <v>0</v>
      </c>
      <c r="Q116">
        <f t="shared" si="7"/>
        <v>4047</v>
      </c>
      <c r="R116">
        <f t="shared" si="8"/>
        <v>15125</v>
      </c>
      <c r="S116">
        <f t="shared" si="9"/>
        <v>1006</v>
      </c>
      <c r="T116">
        <f t="shared" si="10"/>
        <v>622</v>
      </c>
      <c r="U116">
        <f t="shared" si="11"/>
        <v>1161</v>
      </c>
    </row>
    <row r="117" spans="1:21">
      <c r="A117" s="5">
        <f t="shared" si="12"/>
        <v>46138</v>
      </c>
      <c r="B117">
        <f>SUMIFS('Demand Projection'!$D$2:$D$169,'Demand Projection'!$B$2:$B$169,B$1,'Demand Projection'!$C$2:$C$169,$A117)</f>
        <v>0</v>
      </c>
      <c r="C117">
        <f>SUMIFS('Demand Projection'!$D$2:$D$169,'Demand Projection'!$B$2:$B$169,C$1,'Demand Projection'!$C$2:$C$169,$A117)</f>
        <v>0</v>
      </c>
      <c r="D117">
        <f>SUMIFS('Demand Projection'!$D$2:$D$169,'Demand Projection'!$B$2:$B$169,D$1,'Demand Projection'!$C$2:$C$169,$A117)</f>
        <v>0</v>
      </c>
      <c r="E117">
        <f>SUMIFS('Demand Projection'!$D$2:$D$169,'Demand Projection'!$B$2:$B$169,E$1,'Demand Projection'!$C$2:$C$169,$A117)</f>
        <v>0</v>
      </c>
      <c r="F117">
        <f>SUMIFS('Demand Projection'!$D$2:$D$169,'Demand Projection'!$B$2:$B$169,F$1,'Demand Projection'!$C$2:$C$169,$A117)</f>
        <v>0</v>
      </c>
      <c r="G117" cm="1">
        <f t="array" ref="G117">Q116+IF(ROW()-3&lt;2,0,INDEX(L:L,ROW()-3))</f>
        <v>4047</v>
      </c>
      <c r="H117" cm="1">
        <f t="array" ref="H117">R116+IF(ROW()-3&lt;2,0,INDEX(M:M,ROW()-3))</f>
        <v>15125</v>
      </c>
      <c r="I117" cm="1">
        <f t="array" ref="I117">S116+IF(ROW()-3&lt;2,0,INDEX(N:N,ROW()-3))</f>
        <v>1006</v>
      </c>
      <c r="J117" cm="1">
        <f t="array" ref="J117">T116+IF(ROW()-3&lt;2,0,INDEX(O:O,ROW()-3))</f>
        <v>622</v>
      </c>
      <c r="K117" cm="1">
        <f t="array" ref="K117">U116+IF(ROW()-3&lt;2,0,INDEX(P:P,ROW()-3))</f>
        <v>1161</v>
      </c>
      <c r="L117">
        <f>IF(Q117&lt;_xlfn.XLOOKUP(L$1,Capacity!$D$3:$D$7,Capacity!$E$3:$E$7),_xlfn.XLOOKUP(L$1,Capacity!$D$3:$D$7,Capacity!$F$3:$F$7)-Q117,0)</f>
        <v>0</v>
      </c>
      <c r="M117">
        <f>IF(R117&lt;_xlfn.XLOOKUP(M$1,Capacity!$D$3:$D$7,Capacity!$E$3:$E$7),_xlfn.XLOOKUP(M$1,Capacity!$D$3:$D$7,Capacity!$F$3:$F$7)-R117,0)</f>
        <v>0</v>
      </c>
      <c r="N117">
        <f>IF(S117&lt;_xlfn.XLOOKUP(N$1,Capacity!$D$3:$D$7,Capacity!$E$3:$E$7),_xlfn.XLOOKUP(N$1,Capacity!$D$3:$D$7,Capacity!$F$3:$F$7)-S117,0)</f>
        <v>0</v>
      </c>
      <c r="O117">
        <f>IF(T117&lt;_xlfn.XLOOKUP(O$1,Capacity!$D$3:$D$7,Capacity!$E$3:$E$7),_xlfn.XLOOKUP(O$1,Capacity!$D$3:$D$7,Capacity!$F$3:$F$7)-T117,0)</f>
        <v>0</v>
      </c>
      <c r="P117">
        <f>IF(U117&lt;_xlfn.XLOOKUP(P$1,Capacity!$D$3:$D$7,Capacity!$E$3:$E$7),_xlfn.XLOOKUP(P$1,Capacity!$D$3:$D$7,Capacity!$F$3:$F$7)-U117,0)</f>
        <v>0</v>
      </c>
      <c r="Q117">
        <f t="shared" si="7"/>
        <v>4047</v>
      </c>
      <c r="R117">
        <f t="shared" si="8"/>
        <v>15125</v>
      </c>
      <c r="S117">
        <f t="shared" si="9"/>
        <v>1006</v>
      </c>
      <c r="T117">
        <f t="shared" si="10"/>
        <v>622</v>
      </c>
      <c r="U117">
        <f t="shared" si="11"/>
        <v>1161</v>
      </c>
    </row>
    <row r="118" spans="1:21">
      <c r="A118" s="5">
        <f t="shared" si="12"/>
        <v>46139</v>
      </c>
      <c r="B118">
        <f>SUMIFS('Demand Projection'!$D$2:$D$169,'Demand Projection'!$B$2:$B$169,B$1,'Demand Projection'!$C$2:$C$169,$A118)</f>
        <v>0</v>
      </c>
      <c r="C118">
        <f>SUMIFS('Demand Projection'!$D$2:$D$169,'Demand Projection'!$B$2:$B$169,C$1,'Demand Projection'!$C$2:$C$169,$A118)</f>
        <v>0</v>
      </c>
      <c r="D118">
        <f>SUMIFS('Demand Projection'!$D$2:$D$169,'Demand Projection'!$B$2:$B$169,D$1,'Demand Projection'!$C$2:$C$169,$A118)</f>
        <v>0</v>
      </c>
      <c r="E118">
        <f>SUMIFS('Demand Projection'!$D$2:$D$169,'Demand Projection'!$B$2:$B$169,E$1,'Demand Projection'!$C$2:$C$169,$A118)</f>
        <v>0</v>
      </c>
      <c r="F118">
        <f>SUMIFS('Demand Projection'!$D$2:$D$169,'Demand Projection'!$B$2:$B$169,F$1,'Demand Projection'!$C$2:$C$169,$A118)</f>
        <v>0</v>
      </c>
      <c r="G118" cm="1">
        <f t="array" ref="G118">Q117+IF(ROW()-3&lt;2,0,INDEX(L:L,ROW()-3))</f>
        <v>4047</v>
      </c>
      <c r="H118" cm="1">
        <f t="array" ref="H118">R117+IF(ROW()-3&lt;2,0,INDEX(M:M,ROW()-3))</f>
        <v>15125</v>
      </c>
      <c r="I118" cm="1">
        <f t="array" ref="I118">S117+IF(ROW()-3&lt;2,0,INDEX(N:N,ROW()-3))</f>
        <v>1006</v>
      </c>
      <c r="J118" cm="1">
        <f t="array" ref="J118">T117+IF(ROW()-3&lt;2,0,INDEX(O:O,ROW()-3))</f>
        <v>622</v>
      </c>
      <c r="K118" cm="1">
        <f t="array" ref="K118">U117+IF(ROW()-3&lt;2,0,INDEX(P:P,ROW()-3))</f>
        <v>1161</v>
      </c>
      <c r="L118">
        <f>IF(Q118&lt;_xlfn.XLOOKUP(L$1,Capacity!$D$3:$D$7,Capacity!$E$3:$E$7),_xlfn.XLOOKUP(L$1,Capacity!$D$3:$D$7,Capacity!$F$3:$F$7)-Q118,0)</f>
        <v>0</v>
      </c>
      <c r="M118">
        <f>IF(R118&lt;_xlfn.XLOOKUP(M$1,Capacity!$D$3:$D$7,Capacity!$E$3:$E$7),_xlfn.XLOOKUP(M$1,Capacity!$D$3:$D$7,Capacity!$F$3:$F$7)-R118,0)</f>
        <v>0</v>
      </c>
      <c r="N118">
        <f>IF(S118&lt;_xlfn.XLOOKUP(N$1,Capacity!$D$3:$D$7,Capacity!$E$3:$E$7),_xlfn.XLOOKUP(N$1,Capacity!$D$3:$D$7,Capacity!$F$3:$F$7)-S118,0)</f>
        <v>0</v>
      </c>
      <c r="O118">
        <f>IF(T118&lt;_xlfn.XLOOKUP(O$1,Capacity!$D$3:$D$7,Capacity!$E$3:$E$7),_xlfn.XLOOKUP(O$1,Capacity!$D$3:$D$7,Capacity!$F$3:$F$7)-T118,0)</f>
        <v>0</v>
      </c>
      <c r="P118">
        <f>IF(U118&lt;_xlfn.XLOOKUP(P$1,Capacity!$D$3:$D$7,Capacity!$E$3:$E$7),_xlfn.XLOOKUP(P$1,Capacity!$D$3:$D$7,Capacity!$F$3:$F$7)-U118,0)</f>
        <v>0</v>
      </c>
      <c r="Q118">
        <f t="shared" si="7"/>
        <v>4047</v>
      </c>
      <c r="R118">
        <f t="shared" si="8"/>
        <v>15125</v>
      </c>
      <c r="S118">
        <f t="shared" si="9"/>
        <v>1006</v>
      </c>
      <c r="T118">
        <f t="shared" si="10"/>
        <v>622</v>
      </c>
      <c r="U118">
        <f t="shared" si="11"/>
        <v>1161</v>
      </c>
    </row>
    <row r="119" spans="1:21">
      <c r="A119" s="5">
        <f t="shared" si="12"/>
        <v>46140</v>
      </c>
      <c r="B119">
        <f>SUMIFS('Demand Projection'!$D$2:$D$169,'Demand Projection'!$B$2:$B$169,B$1,'Demand Projection'!$C$2:$C$169,$A119)</f>
        <v>0</v>
      </c>
      <c r="C119">
        <f>SUMIFS('Demand Projection'!$D$2:$D$169,'Demand Projection'!$B$2:$B$169,C$1,'Demand Projection'!$C$2:$C$169,$A119)</f>
        <v>0</v>
      </c>
      <c r="D119">
        <f>SUMIFS('Demand Projection'!$D$2:$D$169,'Demand Projection'!$B$2:$B$169,D$1,'Demand Projection'!$C$2:$C$169,$A119)</f>
        <v>0</v>
      </c>
      <c r="E119">
        <f>SUMIFS('Demand Projection'!$D$2:$D$169,'Demand Projection'!$B$2:$B$169,E$1,'Demand Projection'!$C$2:$C$169,$A119)</f>
        <v>3111</v>
      </c>
      <c r="F119">
        <f>SUMIFS('Demand Projection'!$D$2:$D$169,'Demand Projection'!$B$2:$B$169,F$1,'Demand Projection'!$C$2:$C$169,$A119)</f>
        <v>2074</v>
      </c>
      <c r="G119" cm="1">
        <f t="array" ref="G119">Q118+IF(ROW()-3&lt;2,0,INDEX(L:L,ROW()-3))</f>
        <v>4047</v>
      </c>
      <c r="H119" cm="1">
        <f t="array" ref="H119">R118+IF(ROW()-3&lt;2,0,INDEX(M:M,ROW()-3))</f>
        <v>15125</v>
      </c>
      <c r="I119" cm="1">
        <f t="array" ref="I119">S118+IF(ROW()-3&lt;2,0,INDEX(N:N,ROW()-3))</f>
        <v>1006</v>
      </c>
      <c r="J119" cm="1">
        <f t="array" ref="J119">T118+IF(ROW()-3&lt;2,0,INDEX(O:O,ROW()-3))</f>
        <v>622</v>
      </c>
      <c r="K119" cm="1">
        <f t="array" ref="K119">U118+IF(ROW()-3&lt;2,0,INDEX(P:P,ROW()-3))</f>
        <v>1161</v>
      </c>
      <c r="L119">
        <f>IF(Q119&lt;_xlfn.XLOOKUP(L$1,Capacity!$D$3:$D$7,Capacity!$E$3:$E$7),_xlfn.XLOOKUP(L$1,Capacity!$D$3:$D$7,Capacity!$F$3:$F$7)-Q119,0)</f>
        <v>0</v>
      </c>
      <c r="M119">
        <f>IF(R119&lt;_xlfn.XLOOKUP(M$1,Capacity!$D$3:$D$7,Capacity!$E$3:$E$7),_xlfn.XLOOKUP(M$1,Capacity!$D$3:$D$7,Capacity!$F$3:$F$7)-R119,0)</f>
        <v>0</v>
      </c>
      <c r="N119">
        <f>IF(S119&lt;_xlfn.XLOOKUP(N$1,Capacity!$D$3:$D$7,Capacity!$E$3:$E$7),_xlfn.XLOOKUP(N$1,Capacity!$D$3:$D$7,Capacity!$F$3:$F$7)-S119,0)</f>
        <v>0</v>
      </c>
      <c r="O119">
        <f>IF(T119&lt;_xlfn.XLOOKUP(O$1,Capacity!$D$3:$D$7,Capacity!$E$3:$E$7),_xlfn.XLOOKUP(O$1,Capacity!$D$3:$D$7,Capacity!$F$3:$F$7)-T119,0)</f>
        <v>5763</v>
      </c>
      <c r="P119">
        <f>IF(U119&lt;_xlfn.XLOOKUP(P$1,Capacity!$D$3:$D$7,Capacity!$E$3:$E$7),_xlfn.XLOOKUP(P$1,Capacity!$D$3:$D$7,Capacity!$F$3:$F$7)-U119,0)</f>
        <v>3096</v>
      </c>
      <c r="Q119">
        <f t="shared" si="7"/>
        <v>4047</v>
      </c>
      <c r="R119">
        <f t="shared" si="8"/>
        <v>15125</v>
      </c>
      <c r="S119">
        <f t="shared" si="9"/>
        <v>1006</v>
      </c>
      <c r="T119">
        <f t="shared" si="10"/>
        <v>-2489</v>
      </c>
      <c r="U119">
        <f t="shared" si="11"/>
        <v>-913</v>
      </c>
    </row>
    <row r="120" spans="1:21">
      <c r="A120" s="5">
        <f t="shared" si="12"/>
        <v>46141</v>
      </c>
      <c r="B120">
        <f>SUMIFS('Demand Projection'!$D$2:$D$169,'Demand Projection'!$B$2:$B$169,B$1,'Demand Projection'!$C$2:$C$169,$A120)</f>
        <v>0</v>
      </c>
      <c r="C120">
        <f>SUMIFS('Demand Projection'!$D$2:$D$169,'Demand Projection'!$B$2:$B$169,C$1,'Demand Projection'!$C$2:$C$169,$A120)</f>
        <v>0</v>
      </c>
      <c r="D120">
        <f>SUMIFS('Demand Projection'!$D$2:$D$169,'Demand Projection'!$B$2:$B$169,D$1,'Demand Projection'!$C$2:$C$169,$A120)</f>
        <v>0</v>
      </c>
      <c r="E120">
        <f>SUMIFS('Demand Projection'!$D$2:$D$169,'Demand Projection'!$B$2:$B$169,E$1,'Demand Projection'!$C$2:$C$169,$A120)</f>
        <v>0</v>
      </c>
      <c r="F120">
        <f>SUMIFS('Demand Projection'!$D$2:$D$169,'Demand Projection'!$B$2:$B$169,F$1,'Demand Projection'!$C$2:$C$169,$A120)</f>
        <v>0</v>
      </c>
      <c r="G120" cm="1">
        <f t="array" ref="G120">Q119+IF(ROW()-3&lt;2,0,INDEX(L:L,ROW()-3))</f>
        <v>4047</v>
      </c>
      <c r="H120" cm="1">
        <f t="array" ref="H120">R119+IF(ROW()-3&lt;2,0,INDEX(M:M,ROW()-3))</f>
        <v>15125</v>
      </c>
      <c r="I120" cm="1">
        <f t="array" ref="I120">S119+IF(ROW()-3&lt;2,0,INDEX(N:N,ROW()-3))</f>
        <v>1006</v>
      </c>
      <c r="J120" cm="1">
        <f t="array" ref="J120">T119+IF(ROW()-3&lt;2,0,INDEX(O:O,ROW()-3))</f>
        <v>-2489</v>
      </c>
      <c r="K120" cm="1">
        <f t="array" ref="K120">U119+IF(ROW()-3&lt;2,0,INDEX(P:P,ROW()-3))</f>
        <v>-913</v>
      </c>
      <c r="L120">
        <f>IF(Q120&lt;_xlfn.XLOOKUP(L$1,Capacity!$D$3:$D$7,Capacity!$E$3:$E$7),_xlfn.XLOOKUP(L$1,Capacity!$D$3:$D$7,Capacity!$F$3:$F$7)-Q120,0)</f>
        <v>0</v>
      </c>
      <c r="M120">
        <f>IF(R120&lt;_xlfn.XLOOKUP(M$1,Capacity!$D$3:$D$7,Capacity!$E$3:$E$7),_xlfn.XLOOKUP(M$1,Capacity!$D$3:$D$7,Capacity!$F$3:$F$7)-R120,0)</f>
        <v>0</v>
      </c>
      <c r="N120">
        <f>IF(S120&lt;_xlfn.XLOOKUP(N$1,Capacity!$D$3:$D$7,Capacity!$E$3:$E$7),_xlfn.XLOOKUP(N$1,Capacity!$D$3:$D$7,Capacity!$F$3:$F$7)-S120,0)</f>
        <v>0</v>
      </c>
      <c r="O120">
        <f>IF(T120&lt;_xlfn.XLOOKUP(O$1,Capacity!$D$3:$D$7,Capacity!$E$3:$E$7),_xlfn.XLOOKUP(O$1,Capacity!$D$3:$D$7,Capacity!$F$3:$F$7)-T120,0)</f>
        <v>5763</v>
      </c>
      <c r="P120">
        <f>IF(U120&lt;_xlfn.XLOOKUP(P$1,Capacity!$D$3:$D$7,Capacity!$E$3:$E$7),_xlfn.XLOOKUP(P$1,Capacity!$D$3:$D$7,Capacity!$F$3:$F$7)-U120,0)</f>
        <v>3096</v>
      </c>
      <c r="Q120">
        <f t="shared" si="7"/>
        <v>4047</v>
      </c>
      <c r="R120">
        <f t="shared" si="8"/>
        <v>15125</v>
      </c>
      <c r="S120">
        <f t="shared" si="9"/>
        <v>1006</v>
      </c>
      <c r="T120">
        <f t="shared" si="10"/>
        <v>-2489</v>
      </c>
      <c r="U120">
        <f t="shared" si="11"/>
        <v>-913</v>
      </c>
    </row>
    <row r="121" spans="1:21">
      <c r="A121" s="5">
        <f t="shared" si="12"/>
        <v>46142</v>
      </c>
      <c r="B121">
        <f>SUMIFS('Demand Projection'!$D$2:$D$169,'Demand Projection'!$B$2:$B$169,B$1,'Demand Projection'!$C$2:$C$169,$A121)</f>
        <v>0</v>
      </c>
      <c r="C121">
        <f>SUMIFS('Demand Projection'!$D$2:$D$169,'Demand Projection'!$B$2:$B$169,C$1,'Demand Projection'!$C$2:$C$169,$A121)</f>
        <v>0</v>
      </c>
      <c r="D121">
        <f>SUMIFS('Demand Projection'!$D$2:$D$169,'Demand Projection'!$B$2:$B$169,D$1,'Demand Projection'!$C$2:$C$169,$A121)</f>
        <v>0</v>
      </c>
      <c r="E121">
        <f>SUMIFS('Demand Projection'!$D$2:$D$169,'Demand Projection'!$B$2:$B$169,E$1,'Demand Projection'!$C$2:$C$169,$A121)</f>
        <v>0</v>
      </c>
      <c r="F121">
        <f>SUMIFS('Demand Projection'!$D$2:$D$169,'Demand Projection'!$B$2:$B$169,F$1,'Demand Projection'!$C$2:$C$169,$A121)</f>
        <v>0</v>
      </c>
      <c r="G121" cm="1">
        <f t="array" ref="G121">Q120+IF(ROW()-3&lt;2,0,INDEX(L:L,ROW()-3))</f>
        <v>4047</v>
      </c>
      <c r="H121" cm="1">
        <f t="array" ref="H121">R120+IF(ROW()-3&lt;2,0,INDEX(M:M,ROW()-3))</f>
        <v>15125</v>
      </c>
      <c r="I121" cm="1">
        <f t="array" ref="I121">S120+IF(ROW()-3&lt;2,0,INDEX(N:N,ROW()-3))</f>
        <v>1006</v>
      </c>
      <c r="J121" cm="1">
        <f t="array" ref="J121">T120+IF(ROW()-3&lt;2,0,INDEX(O:O,ROW()-3))</f>
        <v>-2489</v>
      </c>
      <c r="K121" cm="1">
        <f t="array" ref="K121">U120+IF(ROW()-3&lt;2,0,INDEX(P:P,ROW()-3))</f>
        <v>-913</v>
      </c>
      <c r="L121">
        <f>IF(Q121&lt;_xlfn.XLOOKUP(L$1,Capacity!$D$3:$D$7,Capacity!$E$3:$E$7),_xlfn.XLOOKUP(L$1,Capacity!$D$3:$D$7,Capacity!$F$3:$F$7)-Q121,0)</f>
        <v>0</v>
      </c>
      <c r="M121">
        <f>IF(R121&lt;_xlfn.XLOOKUP(M$1,Capacity!$D$3:$D$7,Capacity!$E$3:$E$7),_xlfn.XLOOKUP(M$1,Capacity!$D$3:$D$7,Capacity!$F$3:$F$7)-R121,0)</f>
        <v>0</v>
      </c>
      <c r="N121">
        <f>IF(S121&lt;_xlfn.XLOOKUP(N$1,Capacity!$D$3:$D$7,Capacity!$E$3:$E$7),_xlfn.XLOOKUP(N$1,Capacity!$D$3:$D$7,Capacity!$F$3:$F$7)-S121,0)</f>
        <v>0</v>
      </c>
      <c r="O121">
        <f>IF(T121&lt;_xlfn.XLOOKUP(O$1,Capacity!$D$3:$D$7,Capacity!$E$3:$E$7),_xlfn.XLOOKUP(O$1,Capacity!$D$3:$D$7,Capacity!$F$3:$F$7)-T121,0)</f>
        <v>5763</v>
      </c>
      <c r="P121">
        <f>IF(U121&lt;_xlfn.XLOOKUP(P$1,Capacity!$D$3:$D$7,Capacity!$E$3:$E$7),_xlfn.XLOOKUP(P$1,Capacity!$D$3:$D$7,Capacity!$F$3:$F$7)-U121,0)</f>
        <v>3096</v>
      </c>
      <c r="Q121">
        <f t="shared" si="7"/>
        <v>4047</v>
      </c>
      <c r="R121">
        <f t="shared" si="8"/>
        <v>15125</v>
      </c>
      <c r="S121">
        <f t="shared" si="9"/>
        <v>1006</v>
      </c>
      <c r="T121">
        <f t="shared" si="10"/>
        <v>-2489</v>
      </c>
      <c r="U121">
        <f t="shared" si="11"/>
        <v>-913</v>
      </c>
    </row>
    <row r="122" spans="1:21">
      <c r="A122" s="5">
        <f t="shared" si="12"/>
        <v>46143</v>
      </c>
      <c r="B122">
        <f>SUMIFS('Demand Projection'!$D$2:$D$169,'Demand Projection'!$B$2:$B$169,B$1,'Demand Projection'!$C$2:$C$169,$A122)</f>
        <v>0</v>
      </c>
      <c r="C122">
        <f>SUMIFS('Demand Projection'!$D$2:$D$169,'Demand Projection'!$B$2:$B$169,C$1,'Demand Projection'!$C$2:$C$169,$A122)</f>
        <v>0</v>
      </c>
      <c r="D122">
        <f>SUMIFS('Demand Projection'!$D$2:$D$169,'Demand Projection'!$B$2:$B$169,D$1,'Demand Projection'!$C$2:$C$169,$A122)</f>
        <v>0</v>
      </c>
      <c r="E122">
        <f>SUMIFS('Demand Projection'!$D$2:$D$169,'Demand Projection'!$B$2:$B$169,E$1,'Demand Projection'!$C$2:$C$169,$A122)</f>
        <v>0</v>
      </c>
      <c r="F122">
        <f>SUMIFS('Demand Projection'!$D$2:$D$169,'Demand Projection'!$B$2:$B$169,F$1,'Demand Projection'!$C$2:$C$169,$A122)</f>
        <v>0</v>
      </c>
      <c r="G122" cm="1">
        <f t="array" ref="G122">Q121+IF(ROW()-3&lt;2,0,INDEX(L:L,ROW()-3))</f>
        <v>4047</v>
      </c>
      <c r="H122" cm="1">
        <f t="array" ref="H122">R121+IF(ROW()-3&lt;2,0,INDEX(M:M,ROW()-3))</f>
        <v>15125</v>
      </c>
      <c r="I122" cm="1">
        <f t="array" ref="I122">S121+IF(ROW()-3&lt;2,0,INDEX(N:N,ROW()-3))</f>
        <v>1006</v>
      </c>
      <c r="J122" cm="1">
        <f t="array" ref="J122">T121+IF(ROW()-3&lt;2,0,INDEX(O:O,ROW()-3))</f>
        <v>3274</v>
      </c>
      <c r="K122" cm="1">
        <f t="array" ref="K122">U121+IF(ROW()-3&lt;2,0,INDEX(P:P,ROW()-3))</f>
        <v>2183</v>
      </c>
      <c r="L122">
        <f>IF(Q122&lt;_xlfn.XLOOKUP(L$1,Capacity!$D$3:$D$7,Capacity!$E$3:$E$7),_xlfn.XLOOKUP(L$1,Capacity!$D$3:$D$7,Capacity!$F$3:$F$7)-Q122,0)</f>
        <v>0</v>
      </c>
      <c r="M122">
        <f>IF(R122&lt;_xlfn.XLOOKUP(M$1,Capacity!$D$3:$D$7,Capacity!$E$3:$E$7),_xlfn.XLOOKUP(M$1,Capacity!$D$3:$D$7,Capacity!$F$3:$F$7)-R122,0)</f>
        <v>0</v>
      </c>
      <c r="N122">
        <f>IF(S122&lt;_xlfn.XLOOKUP(N$1,Capacity!$D$3:$D$7,Capacity!$E$3:$E$7),_xlfn.XLOOKUP(N$1,Capacity!$D$3:$D$7,Capacity!$F$3:$F$7)-S122,0)</f>
        <v>0</v>
      </c>
      <c r="O122">
        <f>IF(T122&lt;_xlfn.XLOOKUP(O$1,Capacity!$D$3:$D$7,Capacity!$E$3:$E$7),_xlfn.XLOOKUP(O$1,Capacity!$D$3:$D$7,Capacity!$F$3:$F$7)-T122,0)</f>
        <v>0</v>
      </c>
      <c r="P122">
        <f>IF(U122&lt;_xlfn.XLOOKUP(P$1,Capacity!$D$3:$D$7,Capacity!$E$3:$E$7),_xlfn.XLOOKUP(P$1,Capacity!$D$3:$D$7,Capacity!$F$3:$F$7)-U122,0)</f>
        <v>0</v>
      </c>
      <c r="Q122">
        <f t="shared" si="7"/>
        <v>4047</v>
      </c>
      <c r="R122">
        <f t="shared" si="8"/>
        <v>15125</v>
      </c>
      <c r="S122">
        <f t="shared" si="9"/>
        <v>1006</v>
      </c>
      <c r="T122">
        <f t="shared" si="10"/>
        <v>3274</v>
      </c>
      <c r="U122">
        <f t="shared" si="11"/>
        <v>2183</v>
      </c>
    </row>
    <row r="123" spans="1:21">
      <c r="A123" s="5">
        <f t="shared" si="12"/>
        <v>46144</v>
      </c>
      <c r="B123">
        <f>SUMIFS('Demand Projection'!$D$2:$D$169,'Demand Projection'!$B$2:$B$169,B$1,'Demand Projection'!$C$2:$C$169,$A123)</f>
        <v>0</v>
      </c>
      <c r="C123">
        <f>SUMIFS('Demand Projection'!$D$2:$D$169,'Demand Projection'!$B$2:$B$169,C$1,'Demand Projection'!$C$2:$C$169,$A123)</f>
        <v>0</v>
      </c>
      <c r="D123">
        <f>SUMIFS('Demand Projection'!$D$2:$D$169,'Demand Projection'!$B$2:$B$169,D$1,'Demand Projection'!$C$2:$C$169,$A123)</f>
        <v>0</v>
      </c>
      <c r="E123">
        <f>SUMIFS('Demand Projection'!$D$2:$D$169,'Demand Projection'!$B$2:$B$169,E$1,'Demand Projection'!$C$2:$C$169,$A123)</f>
        <v>0</v>
      </c>
      <c r="F123">
        <f>SUMIFS('Demand Projection'!$D$2:$D$169,'Demand Projection'!$B$2:$B$169,F$1,'Demand Projection'!$C$2:$C$169,$A123)</f>
        <v>0</v>
      </c>
      <c r="G123" cm="1">
        <f t="array" ref="G123">Q122+IF(ROW()-3&lt;2,0,INDEX(L:L,ROW()-3))</f>
        <v>4047</v>
      </c>
      <c r="H123" cm="1">
        <f t="array" ref="H123">R122+IF(ROW()-3&lt;2,0,INDEX(M:M,ROW()-3))</f>
        <v>15125</v>
      </c>
      <c r="I123" cm="1">
        <f t="array" ref="I123">S122+IF(ROW()-3&lt;2,0,INDEX(N:N,ROW()-3))</f>
        <v>1006</v>
      </c>
      <c r="J123" cm="1">
        <f t="array" ref="J123">T122+IF(ROW()-3&lt;2,0,INDEX(O:O,ROW()-3))</f>
        <v>9037</v>
      </c>
      <c r="K123" cm="1">
        <f t="array" ref="K123">U122+IF(ROW()-3&lt;2,0,INDEX(P:P,ROW()-3))</f>
        <v>5279</v>
      </c>
      <c r="L123">
        <f>IF(Q123&lt;_xlfn.XLOOKUP(L$1,Capacity!$D$3:$D$7,Capacity!$E$3:$E$7),_xlfn.XLOOKUP(L$1,Capacity!$D$3:$D$7,Capacity!$F$3:$F$7)-Q123,0)</f>
        <v>0</v>
      </c>
      <c r="M123">
        <f>IF(R123&lt;_xlfn.XLOOKUP(M$1,Capacity!$D$3:$D$7,Capacity!$E$3:$E$7),_xlfn.XLOOKUP(M$1,Capacity!$D$3:$D$7,Capacity!$F$3:$F$7)-R123,0)</f>
        <v>0</v>
      </c>
      <c r="N123">
        <f>IF(S123&lt;_xlfn.XLOOKUP(N$1,Capacity!$D$3:$D$7,Capacity!$E$3:$E$7),_xlfn.XLOOKUP(N$1,Capacity!$D$3:$D$7,Capacity!$F$3:$F$7)-S123,0)</f>
        <v>0</v>
      </c>
      <c r="O123">
        <f>IF(T123&lt;_xlfn.XLOOKUP(O$1,Capacity!$D$3:$D$7,Capacity!$E$3:$E$7),_xlfn.XLOOKUP(O$1,Capacity!$D$3:$D$7,Capacity!$F$3:$F$7)-T123,0)</f>
        <v>0</v>
      </c>
      <c r="P123">
        <f>IF(U123&lt;_xlfn.XLOOKUP(P$1,Capacity!$D$3:$D$7,Capacity!$E$3:$E$7),_xlfn.XLOOKUP(P$1,Capacity!$D$3:$D$7,Capacity!$F$3:$F$7)-U123,0)</f>
        <v>0</v>
      </c>
      <c r="Q123">
        <f t="shared" si="7"/>
        <v>4047</v>
      </c>
      <c r="R123">
        <f t="shared" si="8"/>
        <v>15125</v>
      </c>
      <c r="S123">
        <f t="shared" si="9"/>
        <v>1006</v>
      </c>
      <c r="T123">
        <f t="shared" si="10"/>
        <v>9037</v>
      </c>
      <c r="U123">
        <f t="shared" si="11"/>
        <v>5279</v>
      </c>
    </row>
    <row r="124" spans="1:21">
      <c r="A124" s="5">
        <f t="shared" si="12"/>
        <v>46145</v>
      </c>
      <c r="B124">
        <f>SUMIFS('Demand Projection'!$D$2:$D$169,'Demand Projection'!$B$2:$B$169,B$1,'Demand Projection'!$C$2:$C$169,$A124)</f>
        <v>1003</v>
      </c>
      <c r="C124">
        <f>SUMIFS('Demand Projection'!$D$2:$D$169,'Demand Projection'!$B$2:$B$169,C$1,'Demand Projection'!$C$2:$C$169,$A124)</f>
        <v>6013</v>
      </c>
      <c r="D124">
        <f>SUMIFS('Demand Projection'!$D$2:$D$169,'Demand Projection'!$B$2:$B$169,D$1,'Demand Projection'!$C$2:$C$169,$A124)</f>
        <v>0</v>
      </c>
      <c r="E124">
        <f>SUMIFS('Demand Projection'!$D$2:$D$169,'Demand Projection'!$B$2:$B$169,E$1,'Demand Projection'!$C$2:$C$169,$A124)</f>
        <v>0</v>
      </c>
      <c r="F124">
        <f>SUMIFS('Demand Projection'!$D$2:$D$169,'Demand Projection'!$B$2:$B$169,F$1,'Demand Projection'!$C$2:$C$169,$A124)</f>
        <v>0</v>
      </c>
      <c r="G124" cm="1">
        <f t="array" ref="G124">Q123+IF(ROW()-3&lt;2,0,INDEX(L:L,ROW()-3))</f>
        <v>4047</v>
      </c>
      <c r="H124" cm="1">
        <f t="array" ref="H124">R123+IF(ROW()-3&lt;2,0,INDEX(M:M,ROW()-3))</f>
        <v>15125</v>
      </c>
      <c r="I124" cm="1">
        <f t="array" ref="I124">S123+IF(ROW()-3&lt;2,0,INDEX(N:N,ROW()-3))</f>
        <v>1006</v>
      </c>
      <c r="J124" cm="1">
        <f t="array" ref="J124">T123+IF(ROW()-3&lt;2,0,INDEX(O:O,ROW()-3))</f>
        <v>14800</v>
      </c>
      <c r="K124" cm="1">
        <f t="array" ref="K124">U123+IF(ROW()-3&lt;2,0,INDEX(P:P,ROW()-3))</f>
        <v>8375</v>
      </c>
      <c r="L124">
        <f>IF(Q124&lt;_xlfn.XLOOKUP(L$1,Capacity!$D$3:$D$7,Capacity!$E$3:$E$7),_xlfn.XLOOKUP(L$1,Capacity!$D$3:$D$7,Capacity!$F$3:$F$7)-Q124,0)</f>
        <v>0</v>
      </c>
      <c r="M124">
        <f>IF(R124&lt;_xlfn.XLOOKUP(M$1,Capacity!$D$3:$D$7,Capacity!$E$3:$E$7),_xlfn.XLOOKUP(M$1,Capacity!$D$3:$D$7,Capacity!$F$3:$F$7)-R124,0)</f>
        <v>0</v>
      </c>
      <c r="N124">
        <f>IF(S124&lt;_xlfn.XLOOKUP(N$1,Capacity!$D$3:$D$7,Capacity!$E$3:$E$7),_xlfn.XLOOKUP(N$1,Capacity!$D$3:$D$7,Capacity!$F$3:$F$7)-S124,0)</f>
        <v>0</v>
      </c>
      <c r="O124">
        <f>IF(T124&lt;_xlfn.XLOOKUP(O$1,Capacity!$D$3:$D$7,Capacity!$E$3:$E$7),_xlfn.XLOOKUP(O$1,Capacity!$D$3:$D$7,Capacity!$F$3:$F$7)-T124,0)</f>
        <v>0</v>
      </c>
      <c r="P124">
        <f>IF(U124&lt;_xlfn.XLOOKUP(P$1,Capacity!$D$3:$D$7,Capacity!$E$3:$E$7),_xlfn.XLOOKUP(P$1,Capacity!$D$3:$D$7,Capacity!$F$3:$F$7)-U124,0)</f>
        <v>0</v>
      </c>
      <c r="Q124">
        <f t="shared" si="7"/>
        <v>3044</v>
      </c>
      <c r="R124">
        <f t="shared" si="8"/>
        <v>9112</v>
      </c>
      <c r="S124">
        <f t="shared" si="9"/>
        <v>1006</v>
      </c>
      <c r="T124">
        <f t="shared" si="10"/>
        <v>14800</v>
      </c>
      <c r="U124">
        <f t="shared" si="11"/>
        <v>8375</v>
      </c>
    </row>
    <row r="125" spans="1:21">
      <c r="A125" s="5">
        <f t="shared" si="12"/>
        <v>46146</v>
      </c>
      <c r="B125">
        <f>SUMIFS('Demand Projection'!$D$2:$D$169,'Demand Projection'!$B$2:$B$169,B$1,'Demand Projection'!$C$2:$C$169,$A125)</f>
        <v>402</v>
      </c>
      <c r="C125">
        <f>SUMIFS('Demand Projection'!$D$2:$D$169,'Demand Projection'!$B$2:$B$169,C$1,'Demand Projection'!$C$2:$C$169,$A125)</f>
        <v>0</v>
      </c>
      <c r="D125">
        <f>SUMIFS('Demand Projection'!$D$2:$D$169,'Demand Projection'!$B$2:$B$169,D$1,'Demand Projection'!$C$2:$C$169,$A125)</f>
        <v>0</v>
      </c>
      <c r="E125">
        <f>SUMIFS('Demand Projection'!$D$2:$D$169,'Demand Projection'!$B$2:$B$169,E$1,'Demand Projection'!$C$2:$C$169,$A125)</f>
        <v>0</v>
      </c>
      <c r="F125">
        <f>SUMIFS('Demand Projection'!$D$2:$D$169,'Demand Projection'!$B$2:$B$169,F$1,'Demand Projection'!$C$2:$C$169,$A125)</f>
        <v>0</v>
      </c>
      <c r="G125" cm="1">
        <f t="array" ref="G125">Q124+IF(ROW()-3&lt;2,0,INDEX(L:L,ROW()-3))</f>
        <v>3044</v>
      </c>
      <c r="H125" cm="1">
        <f t="array" ref="H125">R124+IF(ROW()-3&lt;2,0,INDEX(M:M,ROW()-3))</f>
        <v>9112</v>
      </c>
      <c r="I125" cm="1">
        <f t="array" ref="I125">S124+IF(ROW()-3&lt;2,0,INDEX(N:N,ROW()-3))</f>
        <v>1006</v>
      </c>
      <c r="J125" cm="1">
        <f t="array" ref="J125">T124+IF(ROW()-3&lt;2,0,INDEX(O:O,ROW()-3))</f>
        <v>14800</v>
      </c>
      <c r="K125" cm="1">
        <f t="array" ref="K125">U124+IF(ROW()-3&lt;2,0,INDEX(P:P,ROW()-3))</f>
        <v>8375</v>
      </c>
      <c r="L125">
        <f>IF(Q125&lt;_xlfn.XLOOKUP(L$1,Capacity!$D$3:$D$7,Capacity!$E$3:$E$7),_xlfn.XLOOKUP(L$1,Capacity!$D$3:$D$7,Capacity!$F$3:$F$7)-Q125,0)</f>
        <v>0</v>
      </c>
      <c r="M125">
        <f>IF(R125&lt;_xlfn.XLOOKUP(M$1,Capacity!$D$3:$D$7,Capacity!$E$3:$E$7),_xlfn.XLOOKUP(M$1,Capacity!$D$3:$D$7,Capacity!$F$3:$F$7)-R125,0)</f>
        <v>0</v>
      </c>
      <c r="N125">
        <f>IF(S125&lt;_xlfn.XLOOKUP(N$1,Capacity!$D$3:$D$7,Capacity!$E$3:$E$7),_xlfn.XLOOKUP(N$1,Capacity!$D$3:$D$7,Capacity!$F$3:$F$7)-S125,0)</f>
        <v>0</v>
      </c>
      <c r="O125">
        <f>IF(T125&lt;_xlfn.XLOOKUP(O$1,Capacity!$D$3:$D$7,Capacity!$E$3:$E$7),_xlfn.XLOOKUP(O$1,Capacity!$D$3:$D$7,Capacity!$F$3:$F$7)-T125,0)</f>
        <v>0</v>
      </c>
      <c r="P125">
        <f>IF(U125&lt;_xlfn.XLOOKUP(P$1,Capacity!$D$3:$D$7,Capacity!$E$3:$E$7),_xlfn.XLOOKUP(P$1,Capacity!$D$3:$D$7,Capacity!$F$3:$F$7)-U125,0)</f>
        <v>0</v>
      </c>
      <c r="Q125">
        <f t="shared" si="7"/>
        <v>2642</v>
      </c>
      <c r="R125">
        <f t="shared" si="8"/>
        <v>9112</v>
      </c>
      <c r="S125">
        <f t="shared" si="9"/>
        <v>1006</v>
      </c>
      <c r="T125">
        <f t="shared" si="10"/>
        <v>14800</v>
      </c>
      <c r="U125">
        <f t="shared" si="11"/>
        <v>8375</v>
      </c>
    </row>
    <row r="126" spans="1:21">
      <c r="A126" s="5">
        <f t="shared" si="12"/>
        <v>46147</v>
      </c>
      <c r="B126">
        <f>SUMIFS('Demand Projection'!$D$2:$D$169,'Demand Projection'!$B$2:$B$169,B$1,'Demand Projection'!$C$2:$C$169,$A126)</f>
        <v>0</v>
      </c>
      <c r="C126">
        <f>SUMIFS('Demand Projection'!$D$2:$D$169,'Demand Projection'!$B$2:$B$169,C$1,'Demand Projection'!$C$2:$C$169,$A126)</f>
        <v>0</v>
      </c>
      <c r="D126">
        <f>SUMIFS('Demand Projection'!$D$2:$D$169,'Demand Projection'!$B$2:$B$169,D$1,'Demand Projection'!$C$2:$C$169,$A126)</f>
        <v>904</v>
      </c>
      <c r="E126">
        <f>SUMIFS('Demand Projection'!$D$2:$D$169,'Demand Projection'!$B$2:$B$169,E$1,'Demand Projection'!$C$2:$C$169,$A126)</f>
        <v>0</v>
      </c>
      <c r="F126">
        <f>SUMIFS('Demand Projection'!$D$2:$D$169,'Demand Projection'!$B$2:$B$169,F$1,'Demand Projection'!$C$2:$C$169,$A126)</f>
        <v>0</v>
      </c>
      <c r="G126" cm="1">
        <f t="array" ref="G126">Q125+IF(ROW()-3&lt;2,0,INDEX(L:L,ROW()-3))</f>
        <v>2642</v>
      </c>
      <c r="H126" cm="1">
        <f t="array" ref="H126">R125+IF(ROW()-3&lt;2,0,INDEX(M:M,ROW()-3))</f>
        <v>9112</v>
      </c>
      <c r="I126" cm="1">
        <f t="array" ref="I126">S125+IF(ROW()-3&lt;2,0,INDEX(N:N,ROW()-3))</f>
        <v>1006</v>
      </c>
      <c r="J126" cm="1">
        <f t="array" ref="J126">T125+IF(ROW()-3&lt;2,0,INDEX(O:O,ROW()-3))</f>
        <v>14800</v>
      </c>
      <c r="K126" cm="1">
        <f t="array" ref="K126">U125+IF(ROW()-3&lt;2,0,INDEX(P:P,ROW()-3))</f>
        <v>8375</v>
      </c>
      <c r="L126">
        <f>IF(Q126&lt;_xlfn.XLOOKUP(L$1,Capacity!$D$3:$D$7,Capacity!$E$3:$E$7),_xlfn.XLOOKUP(L$1,Capacity!$D$3:$D$7,Capacity!$F$3:$F$7)-Q126,0)</f>
        <v>0</v>
      </c>
      <c r="M126">
        <f>IF(R126&lt;_xlfn.XLOOKUP(M$1,Capacity!$D$3:$D$7,Capacity!$E$3:$E$7),_xlfn.XLOOKUP(M$1,Capacity!$D$3:$D$7,Capacity!$F$3:$F$7)-R126,0)</f>
        <v>0</v>
      </c>
      <c r="N126">
        <f>IF(S126&lt;_xlfn.XLOOKUP(N$1,Capacity!$D$3:$D$7,Capacity!$E$3:$E$7),_xlfn.XLOOKUP(N$1,Capacity!$D$3:$D$7,Capacity!$F$3:$F$7)-S126,0)</f>
        <v>1435</v>
      </c>
      <c r="O126">
        <f>IF(T126&lt;_xlfn.XLOOKUP(O$1,Capacity!$D$3:$D$7,Capacity!$E$3:$E$7),_xlfn.XLOOKUP(O$1,Capacity!$D$3:$D$7,Capacity!$F$3:$F$7)-T126,0)</f>
        <v>0</v>
      </c>
      <c r="P126">
        <f>IF(U126&lt;_xlfn.XLOOKUP(P$1,Capacity!$D$3:$D$7,Capacity!$E$3:$E$7),_xlfn.XLOOKUP(P$1,Capacity!$D$3:$D$7,Capacity!$F$3:$F$7)-U126,0)</f>
        <v>0</v>
      </c>
      <c r="Q126">
        <f t="shared" si="7"/>
        <v>2642</v>
      </c>
      <c r="R126">
        <f t="shared" si="8"/>
        <v>9112</v>
      </c>
      <c r="S126">
        <f t="shared" si="9"/>
        <v>102</v>
      </c>
      <c r="T126">
        <f t="shared" si="10"/>
        <v>14800</v>
      </c>
      <c r="U126">
        <f t="shared" si="11"/>
        <v>8375</v>
      </c>
    </row>
    <row r="127" spans="1:21">
      <c r="A127" s="5">
        <f t="shared" si="12"/>
        <v>46148</v>
      </c>
      <c r="B127">
        <f>SUMIFS('Demand Projection'!$D$2:$D$169,'Demand Projection'!$B$2:$B$169,B$1,'Demand Projection'!$C$2:$C$169,$A127)</f>
        <v>0</v>
      </c>
      <c r="C127">
        <f>SUMIFS('Demand Projection'!$D$2:$D$169,'Demand Projection'!$B$2:$B$169,C$1,'Demand Projection'!$C$2:$C$169,$A127)</f>
        <v>0</v>
      </c>
      <c r="D127">
        <f>SUMIFS('Demand Projection'!$D$2:$D$169,'Demand Projection'!$B$2:$B$169,D$1,'Demand Projection'!$C$2:$C$169,$A127)</f>
        <v>0</v>
      </c>
      <c r="E127">
        <f>SUMIFS('Demand Projection'!$D$2:$D$169,'Demand Projection'!$B$2:$B$169,E$1,'Demand Projection'!$C$2:$C$169,$A127)</f>
        <v>603</v>
      </c>
      <c r="F127">
        <f>SUMIFS('Demand Projection'!$D$2:$D$169,'Demand Projection'!$B$2:$B$169,F$1,'Demand Projection'!$C$2:$C$169,$A127)</f>
        <v>0</v>
      </c>
      <c r="G127" cm="1">
        <f t="array" ref="G127">Q126+IF(ROW()-3&lt;2,0,INDEX(L:L,ROW()-3))</f>
        <v>2642</v>
      </c>
      <c r="H127" cm="1">
        <f t="array" ref="H127">R126+IF(ROW()-3&lt;2,0,INDEX(M:M,ROW()-3))</f>
        <v>9112</v>
      </c>
      <c r="I127" cm="1">
        <f t="array" ref="I127">S126+IF(ROW()-3&lt;2,0,INDEX(N:N,ROW()-3))</f>
        <v>102</v>
      </c>
      <c r="J127" cm="1">
        <f t="array" ref="J127">T126+IF(ROW()-3&lt;2,0,INDEX(O:O,ROW()-3))</f>
        <v>14800</v>
      </c>
      <c r="K127" cm="1">
        <f t="array" ref="K127">U126+IF(ROW()-3&lt;2,0,INDEX(P:P,ROW()-3))</f>
        <v>8375</v>
      </c>
      <c r="L127">
        <f>IF(Q127&lt;_xlfn.XLOOKUP(L$1,Capacity!$D$3:$D$7,Capacity!$E$3:$E$7),_xlfn.XLOOKUP(L$1,Capacity!$D$3:$D$7,Capacity!$F$3:$F$7)-Q127,0)</f>
        <v>0</v>
      </c>
      <c r="M127">
        <f>IF(R127&lt;_xlfn.XLOOKUP(M$1,Capacity!$D$3:$D$7,Capacity!$E$3:$E$7),_xlfn.XLOOKUP(M$1,Capacity!$D$3:$D$7,Capacity!$F$3:$F$7)-R127,0)</f>
        <v>0</v>
      </c>
      <c r="N127">
        <f>IF(S127&lt;_xlfn.XLOOKUP(N$1,Capacity!$D$3:$D$7,Capacity!$E$3:$E$7),_xlfn.XLOOKUP(N$1,Capacity!$D$3:$D$7,Capacity!$F$3:$F$7)-S127,0)</f>
        <v>1435</v>
      </c>
      <c r="O127">
        <f>IF(T127&lt;_xlfn.XLOOKUP(O$1,Capacity!$D$3:$D$7,Capacity!$E$3:$E$7),_xlfn.XLOOKUP(O$1,Capacity!$D$3:$D$7,Capacity!$F$3:$F$7)-T127,0)</f>
        <v>0</v>
      </c>
      <c r="P127">
        <f>IF(U127&lt;_xlfn.XLOOKUP(P$1,Capacity!$D$3:$D$7,Capacity!$E$3:$E$7),_xlfn.XLOOKUP(P$1,Capacity!$D$3:$D$7,Capacity!$F$3:$F$7)-U127,0)</f>
        <v>0</v>
      </c>
      <c r="Q127">
        <f t="shared" si="7"/>
        <v>2642</v>
      </c>
      <c r="R127">
        <f t="shared" si="8"/>
        <v>9112</v>
      </c>
      <c r="S127">
        <f t="shared" si="9"/>
        <v>102</v>
      </c>
      <c r="T127">
        <f t="shared" si="10"/>
        <v>14197</v>
      </c>
      <c r="U127">
        <f t="shared" si="11"/>
        <v>8375</v>
      </c>
    </row>
    <row r="128" spans="1:21">
      <c r="A128" s="5">
        <f t="shared" si="12"/>
        <v>46149</v>
      </c>
      <c r="B128">
        <f>SUMIFS('Demand Projection'!$D$2:$D$169,'Demand Projection'!$B$2:$B$169,B$1,'Demand Projection'!$C$2:$C$169,$A128)</f>
        <v>1003</v>
      </c>
      <c r="C128">
        <f>SUMIFS('Demand Projection'!$D$2:$D$169,'Demand Projection'!$B$2:$B$169,C$1,'Demand Projection'!$C$2:$C$169,$A128)</f>
        <v>0</v>
      </c>
      <c r="D128">
        <f>SUMIFS('Demand Projection'!$D$2:$D$169,'Demand Projection'!$B$2:$B$169,D$1,'Demand Projection'!$C$2:$C$169,$A128)</f>
        <v>0</v>
      </c>
      <c r="E128">
        <f>SUMIFS('Demand Projection'!$D$2:$D$169,'Demand Projection'!$B$2:$B$169,E$1,'Demand Projection'!$C$2:$C$169,$A128)</f>
        <v>0</v>
      </c>
      <c r="F128">
        <f>SUMIFS('Demand Projection'!$D$2:$D$169,'Demand Projection'!$B$2:$B$169,F$1,'Demand Projection'!$C$2:$C$169,$A128)</f>
        <v>0</v>
      </c>
      <c r="G128" cm="1">
        <f t="array" ref="G128">Q127+IF(ROW()-3&lt;2,0,INDEX(L:L,ROW()-3))</f>
        <v>2642</v>
      </c>
      <c r="H128" cm="1">
        <f t="array" ref="H128">R127+IF(ROW()-3&lt;2,0,INDEX(M:M,ROW()-3))</f>
        <v>9112</v>
      </c>
      <c r="I128" cm="1">
        <f t="array" ref="I128">S127+IF(ROW()-3&lt;2,0,INDEX(N:N,ROW()-3))</f>
        <v>102</v>
      </c>
      <c r="J128" cm="1">
        <f t="array" ref="J128">T127+IF(ROW()-3&lt;2,0,INDEX(O:O,ROW()-3))</f>
        <v>14197</v>
      </c>
      <c r="K128" cm="1">
        <f t="array" ref="K128">U127+IF(ROW()-3&lt;2,0,INDEX(P:P,ROW()-3))</f>
        <v>8375</v>
      </c>
      <c r="L128">
        <f>IF(Q128&lt;_xlfn.XLOOKUP(L$1,Capacity!$D$3:$D$7,Capacity!$E$3:$E$7),_xlfn.XLOOKUP(L$1,Capacity!$D$3:$D$7,Capacity!$F$3:$F$7)-Q128,0)</f>
        <v>0</v>
      </c>
      <c r="M128">
        <f>IF(R128&lt;_xlfn.XLOOKUP(M$1,Capacity!$D$3:$D$7,Capacity!$E$3:$E$7),_xlfn.XLOOKUP(M$1,Capacity!$D$3:$D$7,Capacity!$F$3:$F$7)-R128,0)</f>
        <v>0</v>
      </c>
      <c r="N128">
        <f>IF(S128&lt;_xlfn.XLOOKUP(N$1,Capacity!$D$3:$D$7,Capacity!$E$3:$E$7),_xlfn.XLOOKUP(N$1,Capacity!$D$3:$D$7,Capacity!$F$3:$F$7)-S128,0)</f>
        <v>1435</v>
      </c>
      <c r="O128">
        <f>IF(T128&lt;_xlfn.XLOOKUP(O$1,Capacity!$D$3:$D$7,Capacity!$E$3:$E$7),_xlfn.XLOOKUP(O$1,Capacity!$D$3:$D$7,Capacity!$F$3:$F$7)-T128,0)</f>
        <v>0</v>
      </c>
      <c r="P128">
        <f>IF(U128&lt;_xlfn.XLOOKUP(P$1,Capacity!$D$3:$D$7,Capacity!$E$3:$E$7),_xlfn.XLOOKUP(P$1,Capacity!$D$3:$D$7,Capacity!$F$3:$F$7)-U128,0)</f>
        <v>0</v>
      </c>
      <c r="Q128">
        <f t="shared" si="7"/>
        <v>1639</v>
      </c>
      <c r="R128">
        <f t="shared" si="8"/>
        <v>9112</v>
      </c>
      <c r="S128">
        <f t="shared" si="9"/>
        <v>102</v>
      </c>
      <c r="T128">
        <f t="shared" si="10"/>
        <v>14197</v>
      </c>
      <c r="U128">
        <f t="shared" si="11"/>
        <v>8375</v>
      </c>
    </row>
    <row r="129" spans="1:21">
      <c r="A129" s="5">
        <f t="shared" si="12"/>
        <v>46150</v>
      </c>
      <c r="B129">
        <f>SUMIFS('Demand Projection'!$D$2:$D$169,'Demand Projection'!$B$2:$B$169,B$1,'Demand Projection'!$C$2:$C$169,$A129)</f>
        <v>0</v>
      </c>
      <c r="C129">
        <f>SUMIFS('Demand Projection'!$D$2:$D$169,'Demand Projection'!$B$2:$B$169,C$1,'Demand Projection'!$C$2:$C$169,$A129)</f>
        <v>0</v>
      </c>
      <c r="D129">
        <f>SUMIFS('Demand Projection'!$D$2:$D$169,'Demand Projection'!$B$2:$B$169,D$1,'Demand Projection'!$C$2:$C$169,$A129)</f>
        <v>0</v>
      </c>
      <c r="E129">
        <f>SUMIFS('Demand Projection'!$D$2:$D$169,'Demand Projection'!$B$2:$B$169,E$1,'Demand Projection'!$C$2:$C$169,$A129)</f>
        <v>0</v>
      </c>
      <c r="F129">
        <f>SUMIFS('Demand Projection'!$D$2:$D$169,'Demand Projection'!$B$2:$B$169,F$1,'Demand Projection'!$C$2:$C$169,$A129)</f>
        <v>0</v>
      </c>
      <c r="G129" cm="1">
        <f t="array" ref="G129">Q128+IF(ROW()-3&lt;2,0,INDEX(L:L,ROW()-3))</f>
        <v>1639</v>
      </c>
      <c r="H129" cm="1">
        <f t="array" ref="H129">R128+IF(ROW()-3&lt;2,0,INDEX(M:M,ROW()-3))</f>
        <v>9112</v>
      </c>
      <c r="I129" cm="1">
        <f t="array" ref="I129">S128+IF(ROW()-3&lt;2,0,INDEX(N:N,ROW()-3))</f>
        <v>1537</v>
      </c>
      <c r="J129" cm="1">
        <f t="array" ref="J129">T128+IF(ROW()-3&lt;2,0,INDEX(O:O,ROW()-3))</f>
        <v>14197</v>
      </c>
      <c r="K129" cm="1">
        <f t="array" ref="K129">U128+IF(ROW()-3&lt;2,0,INDEX(P:P,ROW()-3))</f>
        <v>8375</v>
      </c>
      <c r="L129">
        <f>IF(Q129&lt;_xlfn.XLOOKUP(L$1,Capacity!$D$3:$D$7,Capacity!$E$3:$E$7),_xlfn.XLOOKUP(L$1,Capacity!$D$3:$D$7,Capacity!$F$3:$F$7)-Q129,0)</f>
        <v>0</v>
      </c>
      <c r="M129">
        <f>IF(R129&lt;_xlfn.XLOOKUP(M$1,Capacity!$D$3:$D$7,Capacity!$E$3:$E$7),_xlfn.XLOOKUP(M$1,Capacity!$D$3:$D$7,Capacity!$F$3:$F$7)-R129,0)</f>
        <v>0</v>
      </c>
      <c r="N129">
        <f>IF(S129&lt;_xlfn.XLOOKUP(N$1,Capacity!$D$3:$D$7,Capacity!$E$3:$E$7),_xlfn.XLOOKUP(N$1,Capacity!$D$3:$D$7,Capacity!$F$3:$F$7)-S129,0)</f>
        <v>0</v>
      </c>
      <c r="O129">
        <f>IF(T129&lt;_xlfn.XLOOKUP(O$1,Capacity!$D$3:$D$7,Capacity!$E$3:$E$7),_xlfn.XLOOKUP(O$1,Capacity!$D$3:$D$7,Capacity!$F$3:$F$7)-T129,0)</f>
        <v>0</v>
      </c>
      <c r="P129">
        <f>IF(U129&lt;_xlfn.XLOOKUP(P$1,Capacity!$D$3:$D$7,Capacity!$E$3:$E$7),_xlfn.XLOOKUP(P$1,Capacity!$D$3:$D$7,Capacity!$F$3:$F$7)-U129,0)</f>
        <v>0</v>
      </c>
      <c r="Q129">
        <f t="shared" si="7"/>
        <v>1639</v>
      </c>
      <c r="R129">
        <f t="shared" si="8"/>
        <v>9112</v>
      </c>
      <c r="S129">
        <f t="shared" si="9"/>
        <v>1537</v>
      </c>
      <c r="T129">
        <f t="shared" si="10"/>
        <v>14197</v>
      </c>
      <c r="U129">
        <f t="shared" si="11"/>
        <v>8375</v>
      </c>
    </row>
    <row r="130" spans="1:21">
      <c r="A130" s="5">
        <f t="shared" si="12"/>
        <v>46151</v>
      </c>
      <c r="B130">
        <f>SUMIFS('Demand Projection'!$D$2:$D$169,'Demand Projection'!$B$2:$B$169,B$1,'Demand Projection'!$C$2:$C$169,$A130)</f>
        <v>0</v>
      </c>
      <c r="C130">
        <f>SUMIFS('Demand Projection'!$D$2:$D$169,'Demand Projection'!$B$2:$B$169,C$1,'Demand Projection'!$C$2:$C$169,$A130)</f>
        <v>0</v>
      </c>
      <c r="D130">
        <f>SUMIFS('Demand Projection'!$D$2:$D$169,'Demand Projection'!$B$2:$B$169,D$1,'Demand Projection'!$C$2:$C$169,$A130)</f>
        <v>502</v>
      </c>
      <c r="E130">
        <f>SUMIFS('Demand Projection'!$D$2:$D$169,'Demand Projection'!$B$2:$B$169,E$1,'Demand Projection'!$C$2:$C$169,$A130)</f>
        <v>0</v>
      </c>
      <c r="F130">
        <f>SUMIFS('Demand Projection'!$D$2:$D$169,'Demand Projection'!$B$2:$B$169,F$1,'Demand Projection'!$C$2:$C$169,$A130)</f>
        <v>0</v>
      </c>
      <c r="G130" cm="1">
        <f t="array" ref="G130">Q129+IF(ROW()-3&lt;2,0,INDEX(L:L,ROW()-3))</f>
        <v>1639</v>
      </c>
      <c r="H130" cm="1">
        <f t="array" ref="H130">R129+IF(ROW()-3&lt;2,0,INDEX(M:M,ROW()-3))</f>
        <v>9112</v>
      </c>
      <c r="I130" cm="1">
        <f t="array" ref="I130">S129+IF(ROW()-3&lt;2,0,INDEX(N:N,ROW()-3))</f>
        <v>2972</v>
      </c>
      <c r="J130" cm="1">
        <f t="array" ref="J130">T129+IF(ROW()-3&lt;2,0,INDEX(O:O,ROW()-3))</f>
        <v>14197</v>
      </c>
      <c r="K130" cm="1">
        <f t="array" ref="K130">U129+IF(ROW()-3&lt;2,0,INDEX(P:P,ROW()-3))</f>
        <v>8375</v>
      </c>
      <c r="L130">
        <f>IF(Q130&lt;_xlfn.XLOOKUP(L$1,Capacity!$D$3:$D$7,Capacity!$E$3:$E$7),_xlfn.XLOOKUP(L$1,Capacity!$D$3:$D$7,Capacity!$F$3:$F$7)-Q130,0)</f>
        <v>0</v>
      </c>
      <c r="M130">
        <f>IF(R130&lt;_xlfn.XLOOKUP(M$1,Capacity!$D$3:$D$7,Capacity!$E$3:$E$7),_xlfn.XLOOKUP(M$1,Capacity!$D$3:$D$7,Capacity!$F$3:$F$7)-R130,0)</f>
        <v>0</v>
      </c>
      <c r="N130">
        <f>IF(S130&lt;_xlfn.XLOOKUP(N$1,Capacity!$D$3:$D$7,Capacity!$E$3:$E$7),_xlfn.XLOOKUP(N$1,Capacity!$D$3:$D$7,Capacity!$F$3:$F$7)-S130,0)</f>
        <v>0</v>
      </c>
      <c r="O130">
        <f>IF(T130&lt;_xlfn.XLOOKUP(O$1,Capacity!$D$3:$D$7,Capacity!$E$3:$E$7),_xlfn.XLOOKUP(O$1,Capacity!$D$3:$D$7,Capacity!$F$3:$F$7)-T130,0)</f>
        <v>0</v>
      </c>
      <c r="P130">
        <f>IF(U130&lt;_xlfn.XLOOKUP(P$1,Capacity!$D$3:$D$7,Capacity!$E$3:$E$7),_xlfn.XLOOKUP(P$1,Capacity!$D$3:$D$7,Capacity!$F$3:$F$7)-U130,0)</f>
        <v>0</v>
      </c>
      <c r="Q130">
        <f t="shared" si="7"/>
        <v>1639</v>
      </c>
      <c r="R130">
        <f t="shared" si="8"/>
        <v>9112</v>
      </c>
      <c r="S130">
        <f t="shared" si="9"/>
        <v>2470</v>
      </c>
      <c r="T130">
        <f t="shared" si="10"/>
        <v>14197</v>
      </c>
      <c r="U130">
        <f t="shared" si="11"/>
        <v>8375</v>
      </c>
    </row>
    <row r="131" spans="1:21">
      <c r="A131" s="5">
        <f t="shared" si="12"/>
        <v>46152</v>
      </c>
      <c r="B131">
        <f>SUMIFS('Demand Projection'!$D$2:$D$169,'Demand Projection'!$B$2:$B$169,B$1,'Demand Projection'!$C$2:$C$169,$A131)</f>
        <v>0</v>
      </c>
      <c r="C131">
        <f>SUMIFS('Demand Projection'!$D$2:$D$169,'Demand Projection'!$B$2:$B$169,C$1,'Demand Projection'!$C$2:$C$169,$A131)</f>
        <v>0</v>
      </c>
      <c r="D131">
        <f>SUMIFS('Demand Projection'!$D$2:$D$169,'Demand Projection'!$B$2:$B$169,D$1,'Demand Projection'!$C$2:$C$169,$A131)</f>
        <v>0</v>
      </c>
      <c r="E131">
        <f>SUMIFS('Demand Projection'!$D$2:$D$169,'Demand Projection'!$B$2:$B$169,E$1,'Demand Projection'!$C$2:$C$169,$A131)</f>
        <v>0</v>
      </c>
      <c r="F131">
        <f>SUMIFS('Demand Projection'!$D$2:$D$169,'Demand Projection'!$B$2:$B$169,F$1,'Demand Projection'!$C$2:$C$169,$A131)</f>
        <v>0</v>
      </c>
      <c r="G131" cm="1">
        <f t="array" ref="G131">Q130+IF(ROW()-3&lt;2,0,INDEX(L:L,ROW()-3))</f>
        <v>1639</v>
      </c>
      <c r="H131" cm="1">
        <f t="array" ref="H131">R130+IF(ROW()-3&lt;2,0,INDEX(M:M,ROW()-3))</f>
        <v>9112</v>
      </c>
      <c r="I131" cm="1">
        <f t="array" ref="I131">S130+IF(ROW()-3&lt;2,0,INDEX(N:N,ROW()-3))</f>
        <v>3905</v>
      </c>
      <c r="J131" cm="1">
        <f t="array" ref="J131">T130+IF(ROW()-3&lt;2,0,INDEX(O:O,ROW()-3))</f>
        <v>14197</v>
      </c>
      <c r="K131" cm="1">
        <f t="array" ref="K131">U130+IF(ROW()-3&lt;2,0,INDEX(P:P,ROW()-3))</f>
        <v>8375</v>
      </c>
      <c r="L131">
        <f>IF(Q131&lt;_xlfn.XLOOKUP(L$1,Capacity!$D$3:$D$7,Capacity!$E$3:$E$7),_xlfn.XLOOKUP(L$1,Capacity!$D$3:$D$7,Capacity!$F$3:$F$7)-Q131,0)</f>
        <v>0</v>
      </c>
      <c r="M131">
        <f>IF(R131&lt;_xlfn.XLOOKUP(M$1,Capacity!$D$3:$D$7,Capacity!$E$3:$E$7),_xlfn.XLOOKUP(M$1,Capacity!$D$3:$D$7,Capacity!$F$3:$F$7)-R131,0)</f>
        <v>0</v>
      </c>
      <c r="N131">
        <f>IF(S131&lt;_xlfn.XLOOKUP(N$1,Capacity!$D$3:$D$7,Capacity!$E$3:$E$7),_xlfn.XLOOKUP(N$1,Capacity!$D$3:$D$7,Capacity!$F$3:$F$7)-S131,0)</f>
        <v>0</v>
      </c>
      <c r="O131">
        <f>IF(T131&lt;_xlfn.XLOOKUP(O$1,Capacity!$D$3:$D$7,Capacity!$E$3:$E$7),_xlfn.XLOOKUP(O$1,Capacity!$D$3:$D$7,Capacity!$F$3:$F$7)-T131,0)</f>
        <v>0</v>
      </c>
      <c r="P131">
        <f>IF(U131&lt;_xlfn.XLOOKUP(P$1,Capacity!$D$3:$D$7,Capacity!$E$3:$E$7),_xlfn.XLOOKUP(P$1,Capacity!$D$3:$D$7,Capacity!$F$3:$F$7)-U131,0)</f>
        <v>0</v>
      </c>
      <c r="Q131">
        <f t="shared" ref="Q131:Q194" si="13">G131-B131</f>
        <v>1639</v>
      </c>
      <c r="R131">
        <f t="shared" ref="R131:R194" si="14">H131-C131</f>
        <v>9112</v>
      </c>
      <c r="S131">
        <f t="shared" ref="S131:S194" si="15">I131-D131</f>
        <v>3905</v>
      </c>
      <c r="T131">
        <f t="shared" ref="T131:T194" si="16">J131-E131</f>
        <v>14197</v>
      </c>
      <c r="U131">
        <f t="shared" ref="U131:U194" si="17">K131-F131</f>
        <v>8375</v>
      </c>
    </row>
    <row r="132" spans="1:21">
      <c r="A132" s="5">
        <f t="shared" si="12"/>
        <v>46153</v>
      </c>
      <c r="B132">
        <f>SUMIFS('Demand Projection'!$D$2:$D$169,'Demand Projection'!$B$2:$B$169,B$1,'Demand Projection'!$C$2:$C$169,$A132)</f>
        <v>0</v>
      </c>
      <c r="C132">
        <f>SUMIFS('Demand Projection'!$D$2:$D$169,'Demand Projection'!$B$2:$B$169,C$1,'Demand Projection'!$C$2:$C$169,$A132)</f>
        <v>0</v>
      </c>
      <c r="D132">
        <f>SUMIFS('Demand Projection'!$D$2:$D$169,'Demand Projection'!$B$2:$B$169,D$1,'Demand Projection'!$C$2:$C$169,$A132)</f>
        <v>0</v>
      </c>
      <c r="E132">
        <f>SUMIFS('Demand Projection'!$D$2:$D$169,'Demand Projection'!$B$2:$B$169,E$1,'Demand Projection'!$C$2:$C$169,$A132)</f>
        <v>0</v>
      </c>
      <c r="F132">
        <f>SUMIFS('Demand Projection'!$D$2:$D$169,'Demand Projection'!$B$2:$B$169,F$1,'Demand Projection'!$C$2:$C$169,$A132)</f>
        <v>0</v>
      </c>
      <c r="G132" cm="1">
        <f t="array" ref="G132">Q131+IF(ROW()-3&lt;2,0,INDEX(L:L,ROW()-3))</f>
        <v>1639</v>
      </c>
      <c r="H132" cm="1">
        <f t="array" ref="H132">R131+IF(ROW()-3&lt;2,0,INDEX(M:M,ROW()-3))</f>
        <v>9112</v>
      </c>
      <c r="I132" cm="1">
        <f t="array" ref="I132">S131+IF(ROW()-3&lt;2,0,INDEX(N:N,ROW()-3))</f>
        <v>3905</v>
      </c>
      <c r="J132" cm="1">
        <f t="array" ref="J132">T131+IF(ROW()-3&lt;2,0,INDEX(O:O,ROW()-3))</f>
        <v>14197</v>
      </c>
      <c r="K132" cm="1">
        <f t="array" ref="K132">U131+IF(ROW()-3&lt;2,0,INDEX(P:P,ROW()-3))</f>
        <v>8375</v>
      </c>
      <c r="L132">
        <f>IF(Q132&lt;_xlfn.XLOOKUP(L$1,Capacity!$D$3:$D$7,Capacity!$E$3:$E$7),_xlfn.XLOOKUP(L$1,Capacity!$D$3:$D$7,Capacity!$F$3:$F$7)-Q132,0)</f>
        <v>0</v>
      </c>
      <c r="M132">
        <f>IF(R132&lt;_xlfn.XLOOKUP(M$1,Capacity!$D$3:$D$7,Capacity!$E$3:$E$7),_xlfn.XLOOKUP(M$1,Capacity!$D$3:$D$7,Capacity!$F$3:$F$7)-R132,0)</f>
        <v>0</v>
      </c>
      <c r="N132">
        <f>IF(S132&lt;_xlfn.XLOOKUP(N$1,Capacity!$D$3:$D$7,Capacity!$E$3:$E$7),_xlfn.XLOOKUP(N$1,Capacity!$D$3:$D$7,Capacity!$F$3:$F$7)-S132,0)</f>
        <v>0</v>
      </c>
      <c r="O132">
        <f>IF(T132&lt;_xlfn.XLOOKUP(O$1,Capacity!$D$3:$D$7,Capacity!$E$3:$E$7),_xlfn.XLOOKUP(O$1,Capacity!$D$3:$D$7,Capacity!$F$3:$F$7)-T132,0)</f>
        <v>0</v>
      </c>
      <c r="P132">
        <f>IF(U132&lt;_xlfn.XLOOKUP(P$1,Capacity!$D$3:$D$7,Capacity!$E$3:$E$7),_xlfn.XLOOKUP(P$1,Capacity!$D$3:$D$7,Capacity!$F$3:$F$7)-U132,0)</f>
        <v>0</v>
      </c>
      <c r="Q132">
        <f t="shared" si="13"/>
        <v>1639</v>
      </c>
      <c r="R132">
        <f t="shared" si="14"/>
        <v>9112</v>
      </c>
      <c r="S132">
        <f t="shared" si="15"/>
        <v>3905</v>
      </c>
      <c r="T132">
        <f t="shared" si="16"/>
        <v>14197</v>
      </c>
      <c r="U132">
        <f t="shared" si="17"/>
        <v>8375</v>
      </c>
    </row>
    <row r="133" spans="1:21">
      <c r="A133" s="5">
        <f t="shared" ref="A133:A196" si="18">A132+1</f>
        <v>46154</v>
      </c>
      <c r="B133">
        <f>SUMIFS('Demand Projection'!$D$2:$D$169,'Demand Projection'!$B$2:$B$169,B$1,'Demand Projection'!$C$2:$C$169,$A133)</f>
        <v>0</v>
      </c>
      <c r="C133">
        <f>SUMIFS('Demand Projection'!$D$2:$D$169,'Demand Projection'!$B$2:$B$169,C$1,'Demand Projection'!$C$2:$C$169,$A133)</f>
        <v>0</v>
      </c>
      <c r="D133">
        <f>SUMIFS('Demand Projection'!$D$2:$D$169,'Demand Projection'!$B$2:$B$169,D$1,'Demand Projection'!$C$2:$C$169,$A133)</f>
        <v>0</v>
      </c>
      <c r="E133">
        <f>SUMIFS('Demand Projection'!$D$2:$D$169,'Demand Projection'!$B$2:$B$169,E$1,'Demand Projection'!$C$2:$C$169,$A133)</f>
        <v>0</v>
      </c>
      <c r="F133">
        <f>SUMIFS('Demand Projection'!$D$2:$D$169,'Demand Projection'!$B$2:$B$169,F$1,'Demand Projection'!$C$2:$C$169,$A133)</f>
        <v>402</v>
      </c>
      <c r="G133" cm="1">
        <f t="array" ref="G133">Q132+IF(ROW()-3&lt;2,0,INDEX(L:L,ROW()-3))</f>
        <v>1639</v>
      </c>
      <c r="H133" cm="1">
        <f t="array" ref="H133">R132+IF(ROW()-3&lt;2,0,INDEX(M:M,ROW()-3))</f>
        <v>9112</v>
      </c>
      <c r="I133" cm="1">
        <f t="array" ref="I133">S132+IF(ROW()-3&lt;2,0,INDEX(N:N,ROW()-3))</f>
        <v>3905</v>
      </c>
      <c r="J133" cm="1">
        <f t="array" ref="J133">T132+IF(ROW()-3&lt;2,0,INDEX(O:O,ROW()-3))</f>
        <v>14197</v>
      </c>
      <c r="K133" cm="1">
        <f t="array" ref="K133">U132+IF(ROW()-3&lt;2,0,INDEX(P:P,ROW()-3))</f>
        <v>8375</v>
      </c>
      <c r="L133">
        <f>IF(Q133&lt;_xlfn.XLOOKUP(L$1,Capacity!$D$3:$D$7,Capacity!$E$3:$E$7),_xlfn.XLOOKUP(L$1,Capacity!$D$3:$D$7,Capacity!$F$3:$F$7)-Q133,0)</f>
        <v>0</v>
      </c>
      <c r="M133">
        <f>IF(R133&lt;_xlfn.XLOOKUP(M$1,Capacity!$D$3:$D$7,Capacity!$E$3:$E$7),_xlfn.XLOOKUP(M$1,Capacity!$D$3:$D$7,Capacity!$F$3:$F$7)-R133,0)</f>
        <v>0</v>
      </c>
      <c r="N133">
        <f>IF(S133&lt;_xlfn.XLOOKUP(N$1,Capacity!$D$3:$D$7,Capacity!$E$3:$E$7),_xlfn.XLOOKUP(N$1,Capacity!$D$3:$D$7,Capacity!$F$3:$F$7)-S133,0)</f>
        <v>0</v>
      </c>
      <c r="O133">
        <f>IF(T133&lt;_xlfn.XLOOKUP(O$1,Capacity!$D$3:$D$7,Capacity!$E$3:$E$7),_xlfn.XLOOKUP(O$1,Capacity!$D$3:$D$7,Capacity!$F$3:$F$7)-T133,0)</f>
        <v>0</v>
      </c>
      <c r="P133">
        <f>IF(U133&lt;_xlfn.XLOOKUP(P$1,Capacity!$D$3:$D$7,Capacity!$E$3:$E$7),_xlfn.XLOOKUP(P$1,Capacity!$D$3:$D$7,Capacity!$F$3:$F$7)-U133,0)</f>
        <v>0</v>
      </c>
      <c r="Q133">
        <f t="shared" si="13"/>
        <v>1639</v>
      </c>
      <c r="R133">
        <f t="shared" si="14"/>
        <v>9112</v>
      </c>
      <c r="S133">
        <f t="shared" si="15"/>
        <v>3905</v>
      </c>
      <c r="T133">
        <f t="shared" si="16"/>
        <v>14197</v>
      </c>
      <c r="U133">
        <f t="shared" si="17"/>
        <v>7973</v>
      </c>
    </row>
    <row r="134" spans="1:21">
      <c r="A134" s="5">
        <f t="shared" si="18"/>
        <v>46155</v>
      </c>
      <c r="B134">
        <f>SUMIFS('Demand Projection'!$D$2:$D$169,'Demand Projection'!$B$2:$B$169,B$1,'Demand Projection'!$C$2:$C$169,$A134)</f>
        <v>0</v>
      </c>
      <c r="C134">
        <f>SUMIFS('Demand Projection'!$D$2:$D$169,'Demand Projection'!$B$2:$B$169,C$1,'Demand Projection'!$C$2:$C$169,$A134)</f>
        <v>603</v>
      </c>
      <c r="D134">
        <f>SUMIFS('Demand Projection'!$D$2:$D$169,'Demand Projection'!$B$2:$B$169,D$1,'Demand Projection'!$C$2:$C$169,$A134)</f>
        <v>0</v>
      </c>
      <c r="E134">
        <f>SUMIFS('Demand Projection'!$D$2:$D$169,'Demand Projection'!$B$2:$B$169,E$1,'Demand Projection'!$C$2:$C$169,$A134)</f>
        <v>0</v>
      </c>
      <c r="F134">
        <f>SUMIFS('Demand Projection'!$D$2:$D$169,'Demand Projection'!$B$2:$B$169,F$1,'Demand Projection'!$C$2:$C$169,$A134)</f>
        <v>0</v>
      </c>
      <c r="G134" cm="1">
        <f t="array" ref="G134">Q133+IF(ROW()-3&lt;2,0,INDEX(L:L,ROW()-3))</f>
        <v>1639</v>
      </c>
      <c r="H134" cm="1">
        <f t="array" ref="H134">R133+IF(ROW()-3&lt;2,0,INDEX(M:M,ROW()-3))</f>
        <v>9112</v>
      </c>
      <c r="I134" cm="1">
        <f t="array" ref="I134">S133+IF(ROW()-3&lt;2,0,INDEX(N:N,ROW()-3))</f>
        <v>3905</v>
      </c>
      <c r="J134" cm="1">
        <f t="array" ref="J134">T133+IF(ROW()-3&lt;2,0,INDEX(O:O,ROW()-3))</f>
        <v>14197</v>
      </c>
      <c r="K134" cm="1">
        <f t="array" ref="K134">U133+IF(ROW()-3&lt;2,0,INDEX(P:P,ROW()-3))</f>
        <v>7973</v>
      </c>
      <c r="L134">
        <f>IF(Q134&lt;_xlfn.XLOOKUP(L$1,Capacity!$D$3:$D$7,Capacity!$E$3:$E$7),_xlfn.XLOOKUP(L$1,Capacity!$D$3:$D$7,Capacity!$F$3:$F$7)-Q134,0)</f>
        <v>0</v>
      </c>
      <c r="M134">
        <f>IF(R134&lt;_xlfn.XLOOKUP(M$1,Capacity!$D$3:$D$7,Capacity!$E$3:$E$7),_xlfn.XLOOKUP(M$1,Capacity!$D$3:$D$7,Capacity!$F$3:$F$7)-R134,0)</f>
        <v>0</v>
      </c>
      <c r="N134">
        <f>IF(S134&lt;_xlfn.XLOOKUP(N$1,Capacity!$D$3:$D$7,Capacity!$E$3:$E$7),_xlfn.XLOOKUP(N$1,Capacity!$D$3:$D$7,Capacity!$F$3:$F$7)-S134,0)</f>
        <v>0</v>
      </c>
      <c r="O134">
        <f>IF(T134&lt;_xlfn.XLOOKUP(O$1,Capacity!$D$3:$D$7,Capacity!$E$3:$E$7),_xlfn.XLOOKUP(O$1,Capacity!$D$3:$D$7,Capacity!$F$3:$F$7)-T134,0)</f>
        <v>0</v>
      </c>
      <c r="P134">
        <f>IF(U134&lt;_xlfn.XLOOKUP(P$1,Capacity!$D$3:$D$7,Capacity!$E$3:$E$7),_xlfn.XLOOKUP(P$1,Capacity!$D$3:$D$7,Capacity!$F$3:$F$7)-U134,0)</f>
        <v>0</v>
      </c>
      <c r="Q134">
        <f t="shared" si="13"/>
        <v>1639</v>
      </c>
      <c r="R134">
        <f t="shared" si="14"/>
        <v>8509</v>
      </c>
      <c r="S134">
        <f t="shared" si="15"/>
        <v>3905</v>
      </c>
      <c r="T134">
        <f t="shared" si="16"/>
        <v>14197</v>
      </c>
      <c r="U134">
        <f t="shared" si="17"/>
        <v>7973</v>
      </c>
    </row>
    <row r="135" spans="1:21">
      <c r="A135" s="5">
        <f t="shared" si="18"/>
        <v>46156</v>
      </c>
      <c r="B135">
        <f>SUMIFS('Demand Projection'!$D$2:$D$169,'Demand Projection'!$B$2:$B$169,B$1,'Demand Projection'!$C$2:$C$169,$A135)</f>
        <v>0</v>
      </c>
      <c r="C135">
        <f>SUMIFS('Demand Projection'!$D$2:$D$169,'Demand Projection'!$B$2:$B$169,C$1,'Demand Projection'!$C$2:$C$169,$A135)</f>
        <v>0</v>
      </c>
      <c r="D135">
        <f>SUMIFS('Demand Projection'!$D$2:$D$169,'Demand Projection'!$B$2:$B$169,D$1,'Demand Projection'!$C$2:$C$169,$A135)</f>
        <v>0</v>
      </c>
      <c r="E135">
        <f>SUMIFS('Demand Projection'!$D$2:$D$169,'Demand Projection'!$B$2:$B$169,E$1,'Demand Projection'!$C$2:$C$169,$A135)</f>
        <v>0</v>
      </c>
      <c r="F135">
        <f>SUMIFS('Demand Projection'!$D$2:$D$169,'Demand Projection'!$B$2:$B$169,F$1,'Demand Projection'!$C$2:$C$169,$A135)</f>
        <v>0</v>
      </c>
      <c r="G135" cm="1">
        <f t="array" ref="G135">Q134+IF(ROW()-3&lt;2,0,INDEX(L:L,ROW()-3))</f>
        <v>1639</v>
      </c>
      <c r="H135" cm="1">
        <f t="array" ref="H135">R134+IF(ROW()-3&lt;2,0,INDEX(M:M,ROW()-3))</f>
        <v>8509</v>
      </c>
      <c r="I135" cm="1">
        <f t="array" ref="I135">S134+IF(ROW()-3&lt;2,0,INDEX(N:N,ROW()-3))</f>
        <v>3905</v>
      </c>
      <c r="J135" cm="1">
        <f t="array" ref="J135">T134+IF(ROW()-3&lt;2,0,INDEX(O:O,ROW()-3))</f>
        <v>14197</v>
      </c>
      <c r="K135" cm="1">
        <f t="array" ref="K135">U134+IF(ROW()-3&lt;2,0,INDEX(P:P,ROW()-3))</f>
        <v>7973</v>
      </c>
      <c r="L135">
        <f>IF(Q135&lt;_xlfn.XLOOKUP(L$1,Capacity!$D$3:$D$7,Capacity!$E$3:$E$7),_xlfn.XLOOKUP(L$1,Capacity!$D$3:$D$7,Capacity!$F$3:$F$7)-Q135,0)</f>
        <v>0</v>
      </c>
      <c r="M135">
        <f>IF(R135&lt;_xlfn.XLOOKUP(M$1,Capacity!$D$3:$D$7,Capacity!$E$3:$E$7),_xlfn.XLOOKUP(M$1,Capacity!$D$3:$D$7,Capacity!$F$3:$F$7)-R135,0)</f>
        <v>0</v>
      </c>
      <c r="N135">
        <f>IF(S135&lt;_xlfn.XLOOKUP(N$1,Capacity!$D$3:$D$7,Capacity!$E$3:$E$7),_xlfn.XLOOKUP(N$1,Capacity!$D$3:$D$7,Capacity!$F$3:$F$7)-S135,0)</f>
        <v>0</v>
      </c>
      <c r="O135">
        <f>IF(T135&lt;_xlfn.XLOOKUP(O$1,Capacity!$D$3:$D$7,Capacity!$E$3:$E$7),_xlfn.XLOOKUP(O$1,Capacity!$D$3:$D$7,Capacity!$F$3:$F$7)-T135,0)</f>
        <v>0</v>
      </c>
      <c r="P135">
        <f>IF(U135&lt;_xlfn.XLOOKUP(P$1,Capacity!$D$3:$D$7,Capacity!$E$3:$E$7),_xlfn.XLOOKUP(P$1,Capacity!$D$3:$D$7,Capacity!$F$3:$F$7)-U135,0)</f>
        <v>0</v>
      </c>
      <c r="Q135">
        <f t="shared" si="13"/>
        <v>1639</v>
      </c>
      <c r="R135">
        <f t="shared" si="14"/>
        <v>8509</v>
      </c>
      <c r="S135">
        <f t="shared" si="15"/>
        <v>3905</v>
      </c>
      <c r="T135">
        <f t="shared" si="16"/>
        <v>14197</v>
      </c>
      <c r="U135">
        <f t="shared" si="17"/>
        <v>7973</v>
      </c>
    </row>
    <row r="136" spans="1:21">
      <c r="A136" s="5">
        <f t="shared" si="18"/>
        <v>46157</v>
      </c>
      <c r="B136">
        <f>SUMIFS('Demand Projection'!$D$2:$D$169,'Demand Projection'!$B$2:$B$169,B$1,'Demand Projection'!$C$2:$C$169,$A136)</f>
        <v>0</v>
      </c>
      <c r="C136">
        <f>SUMIFS('Demand Projection'!$D$2:$D$169,'Demand Projection'!$B$2:$B$169,C$1,'Demand Projection'!$C$2:$C$169,$A136)</f>
        <v>0</v>
      </c>
      <c r="D136">
        <f>SUMIFS('Demand Projection'!$D$2:$D$169,'Demand Projection'!$B$2:$B$169,D$1,'Demand Projection'!$C$2:$C$169,$A136)</f>
        <v>0</v>
      </c>
      <c r="E136">
        <f>SUMIFS('Demand Projection'!$D$2:$D$169,'Demand Projection'!$B$2:$B$169,E$1,'Demand Projection'!$C$2:$C$169,$A136)</f>
        <v>0</v>
      </c>
      <c r="F136">
        <f>SUMIFS('Demand Projection'!$D$2:$D$169,'Demand Projection'!$B$2:$B$169,F$1,'Demand Projection'!$C$2:$C$169,$A136)</f>
        <v>0</v>
      </c>
      <c r="G136" cm="1">
        <f t="array" ref="G136">Q135+IF(ROW()-3&lt;2,0,INDEX(L:L,ROW()-3))</f>
        <v>1639</v>
      </c>
      <c r="H136" cm="1">
        <f t="array" ref="H136">R135+IF(ROW()-3&lt;2,0,INDEX(M:M,ROW()-3))</f>
        <v>8509</v>
      </c>
      <c r="I136" cm="1">
        <f t="array" ref="I136">S135+IF(ROW()-3&lt;2,0,INDEX(N:N,ROW()-3))</f>
        <v>3905</v>
      </c>
      <c r="J136" cm="1">
        <f t="array" ref="J136">T135+IF(ROW()-3&lt;2,0,INDEX(O:O,ROW()-3))</f>
        <v>14197</v>
      </c>
      <c r="K136" cm="1">
        <f t="array" ref="K136">U135+IF(ROW()-3&lt;2,0,INDEX(P:P,ROW()-3))</f>
        <v>7973</v>
      </c>
      <c r="L136">
        <f>IF(Q136&lt;_xlfn.XLOOKUP(L$1,Capacity!$D$3:$D$7,Capacity!$E$3:$E$7),_xlfn.XLOOKUP(L$1,Capacity!$D$3:$D$7,Capacity!$F$3:$F$7)-Q136,0)</f>
        <v>0</v>
      </c>
      <c r="M136">
        <f>IF(R136&lt;_xlfn.XLOOKUP(M$1,Capacity!$D$3:$D$7,Capacity!$E$3:$E$7),_xlfn.XLOOKUP(M$1,Capacity!$D$3:$D$7,Capacity!$F$3:$F$7)-R136,0)</f>
        <v>0</v>
      </c>
      <c r="N136">
        <f>IF(S136&lt;_xlfn.XLOOKUP(N$1,Capacity!$D$3:$D$7,Capacity!$E$3:$E$7),_xlfn.XLOOKUP(N$1,Capacity!$D$3:$D$7,Capacity!$F$3:$F$7)-S136,0)</f>
        <v>0</v>
      </c>
      <c r="O136">
        <f>IF(T136&lt;_xlfn.XLOOKUP(O$1,Capacity!$D$3:$D$7,Capacity!$E$3:$E$7),_xlfn.XLOOKUP(O$1,Capacity!$D$3:$D$7,Capacity!$F$3:$F$7)-T136,0)</f>
        <v>0</v>
      </c>
      <c r="P136">
        <f>IF(U136&lt;_xlfn.XLOOKUP(P$1,Capacity!$D$3:$D$7,Capacity!$E$3:$E$7),_xlfn.XLOOKUP(P$1,Capacity!$D$3:$D$7,Capacity!$F$3:$F$7)-U136,0)</f>
        <v>0</v>
      </c>
      <c r="Q136">
        <f t="shared" si="13"/>
        <v>1639</v>
      </c>
      <c r="R136">
        <f t="shared" si="14"/>
        <v>8509</v>
      </c>
      <c r="S136">
        <f t="shared" si="15"/>
        <v>3905</v>
      </c>
      <c r="T136">
        <f t="shared" si="16"/>
        <v>14197</v>
      </c>
      <c r="U136">
        <f t="shared" si="17"/>
        <v>7973</v>
      </c>
    </row>
    <row r="137" spans="1:21">
      <c r="A137" s="5">
        <f t="shared" si="18"/>
        <v>46158</v>
      </c>
      <c r="B137">
        <f>SUMIFS('Demand Projection'!$D$2:$D$169,'Demand Projection'!$B$2:$B$169,B$1,'Demand Projection'!$C$2:$C$169,$A137)</f>
        <v>0</v>
      </c>
      <c r="C137">
        <f>SUMIFS('Demand Projection'!$D$2:$D$169,'Demand Projection'!$B$2:$B$169,C$1,'Demand Projection'!$C$2:$C$169,$A137)</f>
        <v>0</v>
      </c>
      <c r="D137">
        <f>SUMIFS('Demand Projection'!$D$2:$D$169,'Demand Projection'!$B$2:$B$169,D$1,'Demand Projection'!$C$2:$C$169,$A137)</f>
        <v>0</v>
      </c>
      <c r="E137">
        <f>SUMIFS('Demand Projection'!$D$2:$D$169,'Demand Projection'!$B$2:$B$169,E$1,'Demand Projection'!$C$2:$C$169,$A137)</f>
        <v>0</v>
      </c>
      <c r="F137">
        <f>SUMIFS('Demand Projection'!$D$2:$D$169,'Demand Projection'!$B$2:$B$169,F$1,'Demand Projection'!$C$2:$C$169,$A137)</f>
        <v>0</v>
      </c>
      <c r="G137" cm="1">
        <f t="array" ref="G137">Q136+IF(ROW()-3&lt;2,0,INDEX(L:L,ROW()-3))</f>
        <v>1639</v>
      </c>
      <c r="H137" cm="1">
        <f t="array" ref="H137">R136+IF(ROW()-3&lt;2,0,INDEX(M:M,ROW()-3))</f>
        <v>8509</v>
      </c>
      <c r="I137" cm="1">
        <f t="array" ref="I137">S136+IF(ROW()-3&lt;2,0,INDEX(N:N,ROW()-3))</f>
        <v>3905</v>
      </c>
      <c r="J137" cm="1">
        <f t="array" ref="J137">T136+IF(ROW()-3&lt;2,0,INDEX(O:O,ROW()-3))</f>
        <v>14197</v>
      </c>
      <c r="K137" cm="1">
        <f t="array" ref="K137">U136+IF(ROW()-3&lt;2,0,INDEX(P:P,ROW()-3))</f>
        <v>7973</v>
      </c>
      <c r="L137">
        <f>IF(Q137&lt;_xlfn.XLOOKUP(L$1,Capacity!$D$3:$D$7,Capacity!$E$3:$E$7),_xlfn.XLOOKUP(L$1,Capacity!$D$3:$D$7,Capacity!$F$3:$F$7)-Q137,0)</f>
        <v>0</v>
      </c>
      <c r="M137">
        <f>IF(R137&lt;_xlfn.XLOOKUP(M$1,Capacity!$D$3:$D$7,Capacity!$E$3:$E$7),_xlfn.XLOOKUP(M$1,Capacity!$D$3:$D$7,Capacity!$F$3:$F$7)-R137,0)</f>
        <v>0</v>
      </c>
      <c r="N137">
        <f>IF(S137&lt;_xlfn.XLOOKUP(N$1,Capacity!$D$3:$D$7,Capacity!$E$3:$E$7),_xlfn.XLOOKUP(N$1,Capacity!$D$3:$D$7,Capacity!$F$3:$F$7)-S137,0)</f>
        <v>0</v>
      </c>
      <c r="O137">
        <f>IF(T137&lt;_xlfn.XLOOKUP(O$1,Capacity!$D$3:$D$7,Capacity!$E$3:$E$7),_xlfn.XLOOKUP(O$1,Capacity!$D$3:$D$7,Capacity!$F$3:$F$7)-T137,0)</f>
        <v>0</v>
      </c>
      <c r="P137">
        <f>IF(U137&lt;_xlfn.XLOOKUP(P$1,Capacity!$D$3:$D$7,Capacity!$E$3:$E$7),_xlfn.XLOOKUP(P$1,Capacity!$D$3:$D$7,Capacity!$F$3:$F$7)-U137,0)</f>
        <v>0</v>
      </c>
      <c r="Q137">
        <f t="shared" si="13"/>
        <v>1639</v>
      </c>
      <c r="R137">
        <f t="shared" si="14"/>
        <v>8509</v>
      </c>
      <c r="S137">
        <f t="shared" si="15"/>
        <v>3905</v>
      </c>
      <c r="T137">
        <f t="shared" si="16"/>
        <v>14197</v>
      </c>
      <c r="U137">
        <f t="shared" si="17"/>
        <v>7973</v>
      </c>
    </row>
    <row r="138" spans="1:21">
      <c r="A138" s="5">
        <f t="shared" si="18"/>
        <v>46159</v>
      </c>
      <c r="B138">
        <f>SUMIFS('Demand Projection'!$D$2:$D$169,'Demand Projection'!$B$2:$B$169,B$1,'Demand Projection'!$C$2:$C$169,$A138)</f>
        <v>0</v>
      </c>
      <c r="C138">
        <f>SUMIFS('Demand Projection'!$D$2:$D$169,'Demand Projection'!$B$2:$B$169,C$1,'Demand Projection'!$C$2:$C$169,$A138)</f>
        <v>0</v>
      </c>
      <c r="D138">
        <f>SUMIFS('Demand Projection'!$D$2:$D$169,'Demand Projection'!$B$2:$B$169,D$1,'Demand Projection'!$C$2:$C$169,$A138)</f>
        <v>0</v>
      </c>
      <c r="E138">
        <f>SUMIFS('Demand Projection'!$D$2:$D$169,'Demand Projection'!$B$2:$B$169,E$1,'Demand Projection'!$C$2:$C$169,$A138)</f>
        <v>857</v>
      </c>
      <c r="F138">
        <f>SUMIFS('Demand Projection'!$D$2:$D$169,'Demand Projection'!$B$2:$B$169,F$1,'Demand Projection'!$C$2:$C$169,$A138)</f>
        <v>0</v>
      </c>
      <c r="G138" cm="1">
        <f t="array" ref="G138">Q137+IF(ROW()-3&lt;2,0,INDEX(L:L,ROW()-3))</f>
        <v>1639</v>
      </c>
      <c r="H138" cm="1">
        <f t="array" ref="H138">R137+IF(ROW()-3&lt;2,0,INDEX(M:M,ROW()-3))</f>
        <v>8509</v>
      </c>
      <c r="I138" cm="1">
        <f t="array" ref="I138">S137+IF(ROW()-3&lt;2,0,INDEX(N:N,ROW()-3))</f>
        <v>3905</v>
      </c>
      <c r="J138" cm="1">
        <f t="array" ref="J138">T137+IF(ROW()-3&lt;2,0,INDEX(O:O,ROW()-3))</f>
        <v>14197</v>
      </c>
      <c r="K138" cm="1">
        <f t="array" ref="K138">U137+IF(ROW()-3&lt;2,0,INDEX(P:P,ROW()-3))</f>
        <v>7973</v>
      </c>
      <c r="L138">
        <f>IF(Q138&lt;_xlfn.XLOOKUP(L$1,Capacity!$D$3:$D$7,Capacity!$E$3:$E$7),_xlfn.XLOOKUP(L$1,Capacity!$D$3:$D$7,Capacity!$F$3:$F$7)-Q138,0)</f>
        <v>0</v>
      </c>
      <c r="M138">
        <f>IF(R138&lt;_xlfn.XLOOKUP(M$1,Capacity!$D$3:$D$7,Capacity!$E$3:$E$7),_xlfn.XLOOKUP(M$1,Capacity!$D$3:$D$7,Capacity!$F$3:$F$7)-R138,0)</f>
        <v>0</v>
      </c>
      <c r="N138">
        <f>IF(S138&lt;_xlfn.XLOOKUP(N$1,Capacity!$D$3:$D$7,Capacity!$E$3:$E$7),_xlfn.XLOOKUP(N$1,Capacity!$D$3:$D$7,Capacity!$F$3:$F$7)-S138,0)</f>
        <v>0</v>
      </c>
      <c r="O138">
        <f>IF(T138&lt;_xlfn.XLOOKUP(O$1,Capacity!$D$3:$D$7,Capacity!$E$3:$E$7),_xlfn.XLOOKUP(O$1,Capacity!$D$3:$D$7,Capacity!$F$3:$F$7)-T138,0)</f>
        <v>0</v>
      </c>
      <c r="P138">
        <f>IF(U138&lt;_xlfn.XLOOKUP(P$1,Capacity!$D$3:$D$7,Capacity!$E$3:$E$7),_xlfn.XLOOKUP(P$1,Capacity!$D$3:$D$7,Capacity!$F$3:$F$7)-U138,0)</f>
        <v>0</v>
      </c>
      <c r="Q138">
        <f t="shared" si="13"/>
        <v>1639</v>
      </c>
      <c r="R138">
        <f t="shared" si="14"/>
        <v>8509</v>
      </c>
      <c r="S138">
        <f t="shared" si="15"/>
        <v>3905</v>
      </c>
      <c r="T138">
        <f t="shared" si="16"/>
        <v>13340</v>
      </c>
      <c r="U138">
        <f t="shared" si="17"/>
        <v>7973</v>
      </c>
    </row>
    <row r="139" spans="1:21">
      <c r="A139" s="5">
        <f t="shared" si="18"/>
        <v>46160</v>
      </c>
      <c r="B139">
        <f>SUMIFS('Demand Projection'!$D$2:$D$169,'Demand Projection'!$B$2:$B$169,B$1,'Demand Projection'!$C$2:$C$169,$A139)</f>
        <v>0</v>
      </c>
      <c r="C139">
        <f>SUMIFS('Demand Projection'!$D$2:$D$169,'Demand Projection'!$B$2:$B$169,C$1,'Demand Projection'!$C$2:$C$169,$A139)</f>
        <v>0</v>
      </c>
      <c r="D139">
        <f>SUMIFS('Demand Projection'!$D$2:$D$169,'Demand Projection'!$B$2:$B$169,D$1,'Demand Projection'!$C$2:$C$169,$A139)</f>
        <v>0</v>
      </c>
      <c r="E139">
        <f>SUMIFS('Demand Projection'!$D$2:$D$169,'Demand Projection'!$B$2:$B$169,E$1,'Demand Projection'!$C$2:$C$169,$A139)</f>
        <v>0</v>
      </c>
      <c r="F139">
        <f>SUMIFS('Demand Projection'!$D$2:$D$169,'Demand Projection'!$B$2:$B$169,F$1,'Demand Projection'!$C$2:$C$169,$A139)</f>
        <v>0</v>
      </c>
      <c r="G139" cm="1">
        <f t="array" ref="G139">Q138+IF(ROW()-3&lt;2,0,INDEX(L:L,ROW()-3))</f>
        <v>1639</v>
      </c>
      <c r="H139" cm="1">
        <f t="array" ref="H139">R138+IF(ROW()-3&lt;2,0,INDEX(M:M,ROW()-3))</f>
        <v>8509</v>
      </c>
      <c r="I139" cm="1">
        <f t="array" ref="I139">S138+IF(ROW()-3&lt;2,0,INDEX(N:N,ROW()-3))</f>
        <v>3905</v>
      </c>
      <c r="J139" cm="1">
        <f t="array" ref="J139">T138+IF(ROW()-3&lt;2,0,INDEX(O:O,ROW()-3))</f>
        <v>13340</v>
      </c>
      <c r="K139" cm="1">
        <f t="array" ref="K139">U138+IF(ROW()-3&lt;2,0,INDEX(P:P,ROW()-3))</f>
        <v>7973</v>
      </c>
      <c r="L139">
        <f>IF(Q139&lt;_xlfn.XLOOKUP(L$1,Capacity!$D$3:$D$7,Capacity!$E$3:$E$7),_xlfn.XLOOKUP(L$1,Capacity!$D$3:$D$7,Capacity!$F$3:$F$7)-Q139,0)</f>
        <v>0</v>
      </c>
      <c r="M139">
        <f>IF(R139&lt;_xlfn.XLOOKUP(M$1,Capacity!$D$3:$D$7,Capacity!$E$3:$E$7),_xlfn.XLOOKUP(M$1,Capacity!$D$3:$D$7,Capacity!$F$3:$F$7)-R139,0)</f>
        <v>0</v>
      </c>
      <c r="N139">
        <f>IF(S139&lt;_xlfn.XLOOKUP(N$1,Capacity!$D$3:$D$7,Capacity!$E$3:$E$7),_xlfn.XLOOKUP(N$1,Capacity!$D$3:$D$7,Capacity!$F$3:$F$7)-S139,0)</f>
        <v>0</v>
      </c>
      <c r="O139">
        <f>IF(T139&lt;_xlfn.XLOOKUP(O$1,Capacity!$D$3:$D$7,Capacity!$E$3:$E$7),_xlfn.XLOOKUP(O$1,Capacity!$D$3:$D$7,Capacity!$F$3:$F$7)-T139,0)</f>
        <v>0</v>
      </c>
      <c r="P139">
        <f>IF(U139&lt;_xlfn.XLOOKUP(P$1,Capacity!$D$3:$D$7,Capacity!$E$3:$E$7),_xlfn.XLOOKUP(P$1,Capacity!$D$3:$D$7,Capacity!$F$3:$F$7)-U139,0)</f>
        <v>0</v>
      </c>
      <c r="Q139">
        <f t="shared" si="13"/>
        <v>1639</v>
      </c>
      <c r="R139">
        <f t="shared" si="14"/>
        <v>8509</v>
      </c>
      <c r="S139">
        <f t="shared" si="15"/>
        <v>3905</v>
      </c>
      <c r="T139">
        <f t="shared" si="16"/>
        <v>13340</v>
      </c>
      <c r="U139">
        <f t="shared" si="17"/>
        <v>7973</v>
      </c>
    </row>
    <row r="140" spans="1:21">
      <c r="A140" s="5">
        <f t="shared" si="18"/>
        <v>46161</v>
      </c>
      <c r="B140">
        <f>SUMIFS('Demand Projection'!$D$2:$D$169,'Demand Projection'!$B$2:$B$169,B$1,'Demand Projection'!$C$2:$C$169,$A140)</f>
        <v>0</v>
      </c>
      <c r="C140">
        <f>SUMIFS('Demand Projection'!$D$2:$D$169,'Demand Projection'!$B$2:$B$169,C$1,'Demand Projection'!$C$2:$C$169,$A140)</f>
        <v>0</v>
      </c>
      <c r="D140">
        <f>SUMIFS('Demand Projection'!$D$2:$D$169,'Demand Projection'!$B$2:$B$169,D$1,'Demand Projection'!$C$2:$C$169,$A140)</f>
        <v>0</v>
      </c>
      <c r="E140">
        <f>SUMIFS('Demand Projection'!$D$2:$D$169,'Demand Projection'!$B$2:$B$169,E$1,'Demand Projection'!$C$2:$C$169,$A140)</f>
        <v>0</v>
      </c>
      <c r="F140">
        <f>SUMIFS('Demand Projection'!$D$2:$D$169,'Demand Projection'!$B$2:$B$169,F$1,'Demand Projection'!$C$2:$C$169,$A140)</f>
        <v>0</v>
      </c>
      <c r="G140" cm="1">
        <f t="array" ref="G140">Q139+IF(ROW()-3&lt;2,0,INDEX(L:L,ROW()-3))</f>
        <v>1639</v>
      </c>
      <c r="H140" cm="1">
        <f t="array" ref="H140">R139+IF(ROW()-3&lt;2,0,INDEX(M:M,ROW()-3))</f>
        <v>8509</v>
      </c>
      <c r="I140" cm="1">
        <f t="array" ref="I140">S139+IF(ROW()-3&lt;2,0,INDEX(N:N,ROW()-3))</f>
        <v>3905</v>
      </c>
      <c r="J140" cm="1">
        <f t="array" ref="J140">T139+IF(ROW()-3&lt;2,0,INDEX(O:O,ROW()-3))</f>
        <v>13340</v>
      </c>
      <c r="K140" cm="1">
        <f t="array" ref="K140">U139+IF(ROW()-3&lt;2,0,INDEX(P:P,ROW()-3))</f>
        <v>7973</v>
      </c>
      <c r="L140">
        <f>IF(Q140&lt;_xlfn.XLOOKUP(L$1,Capacity!$D$3:$D$7,Capacity!$E$3:$E$7),_xlfn.XLOOKUP(L$1,Capacity!$D$3:$D$7,Capacity!$F$3:$F$7)-Q140,0)</f>
        <v>0</v>
      </c>
      <c r="M140">
        <f>IF(R140&lt;_xlfn.XLOOKUP(M$1,Capacity!$D$3:$D$7,Capacity!$E$3:$E$7),_xlfn.XLOOKUP(M$1,Capacity!$D$3:$D$7,Capacity!$F$3:$F$7)-R140,0)</f>
        <v>0</v>
      </c>
      <c r="N140">
        <f>IF(S140&lt;_xlfn.XLOOKUP(N$1,Capacity!$D$3:$D$7,Capacity!$E$3:$E$7),_xlfn.XLOOKUP(N$1,Capacity!$D$3:$D$7,Capacity!$F$3:$F$7)-S140,0)</f>
        <v>0</v>
      </c>
      <c r="O140">
        <f>IF(T140&lt;_xlfn.XLOOKUP(O$1,Capacity!$D$3:$D$7,Capacity!$E$3:$E$7),_xlfn.XLOOKUP(O$1,Capacity!$D$3:$D$7,Capacity!$F$3:$F$7)-T140,0)</f>
        <v>0</v>
      </c>
      <c r="P140">
        <f>IF(U140&lt;_xlfn.XLOOKUP(P$1,Capacity!$D$3:$D$7,Capacity!$E$3:$E$7),_xlfn.XLOOKUP(P$1,Capacity!$D$3:$D$7,Capacity!$F$3:$F$7)-U140,0)</f>
        <v>0</v>
      </c>
      <c r="Q140">
        <f t="shared" si="13"/>
        <v>1639</v>
      </c>
      <c r="R140">
        <f t="shared" si="14"/>
        <v>8509</v>
      </c>
      <c r="S140">
        <f t="shared" si="15"/>
        <v>3905</v>
      </c>
      <c r="T140">
        <f t="shared" si="16"/>
        <v>13340</v>
      </c>
      <c r="U140">
        <f t="shared" si="17"/>
        <v>7973</v>
      </c>
    </row>
    <row r="141" spans="1:21">
      <c r="A141" s="5">
        <f t="shared" si="18"/>
        <v>46162</v>
      </c>
      <c r="B141">
        <f>SUMIFS('Demand Projection'!$D$2:$D$169,'Demand Projection'!$B$2:$B$169,B$1,'Demand Projection'!$C$2:$C$169,$A141)</f>
        <v>0</v>
      </c>
      <c r="C141">
        <f>SUMIFS('Demand Projection'!$D$2:$D$169,'Demand Projection'!$B$2:$B$169,C$1,'Demand Projection'!$C$2:$C$169,$A141)</f>
        <v>0</v>
      </c>
      <c r="D141">
        <f>SUMIFS('Demand Projection'!$D$2:$D$169,'Demand Projection'!$B$2:$B$169,D$1,'Demand Projection'!$C$2:$C$169,$A141)</f>
        <v>789</v>
      </c>
      <c r="E141">
        <f>SUMIFS('Demand Projection'!$D$2:$D$169,'Demand Projection'!$B$2:$B$169,E$1,'Demand Projection'!$C$2:$C$169,$A141)</f>
        <v>0</v>
      </c>
      <c r="F141">
        <f>SUMIFS('Demand Projection'!$D$2:$D$169,'Demand Projection'!$B$2:$B$169,F$1,'Demand Projection'!$C$2:$C$169,$A141)</f>
        <v>0</v>
      </c>
      <c r="G141" cm="1">
        <f t="array" ref="G141">Q140+IF(ROW()-3&lt;2,0,INDEX(L:L,ROW()-3))</f>
        <v>1639</v>
      </c>
      <c r="H141" cm="1">
        <f t="array" ref="H141">R140+IF(ROW()-3&lt;2,0,INDEX(M:M,ROW()-3))</f>
        <v>8509</v>
      </c>
      <c r="I141" cm="1">
        <f t="array" ref="I141">S140+IF(ROW()-3&lt;2,0,INDEX(N:N,ROW()-3))</f>
        <v>3905</v>
      </c>
      <c r="J141" cm="1">
        <f t="array" ref="J141">T140+IF(ROW()-3&lt;2,0,INDEX(O:O,ROW()-3))</f>
        <v>13340</v>
      </c>
      <c r="K141" cm="1">
        <f t="array" ref="K141">U140+IF(ROW()-3&lt;2,0,INDEX(P:P,ROW()-3))</f>
        <v>7973</v>
      </c>
      <c r="L141">
        <f>IF(Q141&lt;_xlfn.XLOOKUP(L$1,Capacity!$D$3:$D$7,Capacity!$E$3:$E$7),_xlfn.XLOOKUP(L$1,Capacity!$D$3:$D$7,Capacity!$F$3:$F$7)-Q141,0)</f>
        <v>0</v>
      </c>
      <c r="M141">
        <f>IF(R141&lt;_xlfn.XLOOKUP(M$1,Capacity!$D$3:$D$7,Capacity!$E$3:$E$7),_xlfn.XLOOKUP(M$1,Capacity!$D$3:$D$7,Capacity!$F$3:$F$7)-R141,0)</f>
        <v>0</v>
      </c>
      <c r="N141">
        <f>IF(S141&lt;_xlfn.XLOOKUP(N$1,Capacity!$D$3:$D$7,Capacity!$E$3:$E$7),_xlfn.XLOOKUP(N$1,Capacity!$D$3:$D$7,Capacity!$F$3:$F$7)-S141,0)</f>
        <v>0</v>
      </c>
      <c r="O141">
        <f>IF(T141&lt;_xlfn.XLOOKUP(O$1,Capacity!$D$3:$D$7,Capacity!$E$3:$E$7),_xlfn.XLOOKUP(O$1,Capacity!$D$3:$D$7,Capacity!$F$3:$F$7)-T141,0)</f>
        <v>0</v>
      </c>
      <c r="P141">
        <f>IF(U141&lt;_xlfn.XLOOKUP(P$1,Capacity!$D$3:$D$7,Capacity!$E$3:$E$7),_xlfn.XLOOKUP(P$1,Capacity!$D$3:$D$7,Capacity!$F$3:$F$7)-U141,0)</f>
        <v>0</v>
      </c>
      <c r="Q141">
        <f t="shared" si="13"/>
        <v>1639</v>
      </c>
      <c r="R141">
        <f t="shared" si="14"/>
        <v>8509</v>
      </c>
      <c r="S141">
        <f t="shared" si="15"/>
        <v>3116</v>
      </c>
      <c r="T141">
        <f t="shared" si="16"/>
        <v>13340</v>
      </c>
      <c r="U141">
        <f t="shared" si="17"/>
        <v>7973</v>
      </c>
    </row>
    <row r="142" spans="1:21">
      <c r="A142" s="5">
        <f t="shared" si="18"/>
        <v>46163</v>
      </c>
      <c r="B142">
        <f>SUMIFS('Demand Projection'!$D$2:$D$169,'Demand Projection'!$B$2:$B$169,B$1,'Demand Projection'!$C$2:$C$169,$A142)</f>
        <v>0</v>
      </c>
      <c r="C142">
        <f>SUMIFS('Demand Projection'!$D$2:$D$169,'Demand Projection'!$B$2:$B$169,C$1,'Demand Projection'!$C$2:$C$169,$A142)</f>
        <v>0</v>
      </c>
      <c r="D142">
        <f>SUMIFS('Demand Projection'!$D$2:$D$169,'Demand Projection'!$B$2:$B$169,D$1,'Demand Projection'!$C$2:$C$169,$A142)</f>
        <v>0</v>
      </c>
      <c r="E142">
        <f>SUMIFS('Demand Projection'!$D$2:$D$169,'Demand Projection'!$B$2:$B$169,E$1,'Demand Projection'!$C$2:$C$169,$A142)</f>
        <v>0</v>
      </c>
      <c r="F142">
        <f>SUMIFS('Demand Projection'!$D$2:$D$169,'Demand Projection'!$B$2:$B$169,F$1,'Demand Projection'!$C$2:$C$169,$A142)</f>
        <v>0</v>
      </c>
      <c r="G142" cm="1">
        <f t="array" ref="G142">Q141+IF(ROW()-3&lt;2,0,INDEX(L:L,ROW()-3))</f>
        <v>1639</v>
      </c>
      <c r="H142" cm="1">
        <f t="array" ref="H142">R141+IF(ROW()-3&lt;2,0,INDEX(M:M,ROW()-3))</f>
        <v>8509</v>
      </c>
      <c r="I142" cm="1">
        <f t="array" ref="I142">S141+IF(ROW()-3&lt;2,0,INDEX(N:N,ROW()-3))</f>
        <v>3116</v>
      </c>
      <c r="J142" cm="1">
        <f t="array" ref="J142">T141+IF(ROW()-3&lt;2,0,INDEX(O:O,ROW()-3))</f>
        <v>13340</v>
      </c>
      <c r="K142" cm="1">
        <f t="array" ref="K142">U141+IF(ROW()-3&lt;2,0,INDEX(P:P,ROW()-3))</f>
        <v>7973</v>
      </c>
      <c r="L142">
        <f>IF(Q142&lt;_xlfn.XLOOKUP(L$1,Capacity!$D$3:$D$7,Capacity!$E$3:$E$7),_xlfn.XLOOKUP(L$1,Capacity!$D$3:$D$7,Capacity!$F$3:$F$7)-Q142,0)</f>
        <v>0</v>
      </c>
      <c r="M142">
        <f>IF(R142&lt;_xlfn.XLOOKUP(M$1,Capacity!$D$3:$D$7,Capacity!$E$3:$E$7),_xlfn.XLOOKUP(M$1,Capacity!$D$3:$D$7,Capacity!$F$3:$F$7)-R142,0)</f>
        <v>0</v>
      </c>
      <c r="N142">
        <f>IF(S142&lt;_xlfn.XLOOKUP(N$1,Capacity!$D$3:$D$7,Capacity!$E$3:$E$7),_xlfn.XLOOKUP(N$1,Capacity!$D$3:$D$7,Capacity!$F$3:$F$7)-S142,0)</f>
        <v>0</v>
      </c>
      <c r="O142">
        <f>IF(T142&lt;_xlfn.XLOOKUP(O$1,Capacity!$D$3:$D$7,Capacity!$E$3:$E$7),_xlfn.XLOOKUP(O$1,Capacity!$D$3:$D$7,Capacity!$F$3:$F$7)-T142,0)</f>
        <v>0</v>
      </c>
      <c r="P142">
        <f>IF(U142&lt;_xlfn.XLOOKUP(P$1,Capacity!$D$3:$D$7,Capacity!$E$3:$E$7),_xlfn.XLOOKUP(P$1,Capacity!$D$3:$D$7,Capacity!$F$3:$F$7)-U142,0)</f>
        <v>0</v>
      </c>
      <c r="Q142">
        <f t="shared" si="13"/>
        <v>1639</v>
      </c>
      <c r="R142">
        <f t="shared" si="14"/>
        <v>8509</v>
      </c>
      <c r="S142">
        <f t="shared" si="15"/>
        <v>3116</v>
      </c>
      <c r="T142">
        <f t="shared" si="16"/>
        <v>13340</v>
      </c>
      <c r="U142">
        <f t="shared" si="17"/>
        <v>7973</v>
      </c>
    </row>
    <row r="143" spans="1:21">
      <c r="A143" s="5">
        <f t="shared" si="18"/>
        <v>46164</v>
      </c>
      <c r="B143">
        <f>SUMIFS('Demand Projection'!$D$2:$D$169,'Demand Projection'!$B$2:$B$169,B$1,'Demand Projection'!$C$2:$C$169,$A143)</f>
        <v>0</v>
      </c>
      <c r="C143">
        <f>SUMIFS('Demand Projection'!$D$2:$D$169,'Demand Projection'!$B$2:$B$169,C$1,'Demand Projection'!$C$2:$C$169,$A143)</f>
        <v>0</v>
      </c>
      <c r="D143">
        <f>SUMIFS('Demand Projection'!$D$2:$D$169,'Demand Projection'!$B$2:$B$169,D$1,'Demand Projection'!$C$2:$C$169,$A143)</f>
        <v>0</v>
      </c>
      <c r="E143">
        <f>SUMIFS('Demand Projection'!$D$2:$D$169,'Demand Projection'!$B$2:$B$169,E$1,'Demand Projection'!$C$2:$C$169,$A143)</f>
        <v>0</v>
      </c>
      <c r="F143">
        <f>SUMIFS('Demand Projection'!$D$2:$D$169,'Demand Projection'!$B$2:$B$169,F$1,'Demand Projection'!$C$2:$C$169,$A143)</f>
        <v>0</v>
      </c>
      <c r="G143" cm="1">
        <f t="array" ref="G143">Q142+IF(ROW()-3&lt;2,0,INDEX(L:L,ROW()-3))</f>
        <v>1639</v>
      </c>
      <c r="H143" cm="1">
        <f t="array" ref="H143">R142+IF(ROW()-3&lt;2,0,INDEX(M:M,ROW()-3))</f>
        <v>8509</v>
      </c>
      <c r="I143" cm="1">
        <f t="array" ref="I143">S142+IF(ROW()-3&lt;2,0,INDEX(N:N,ROW()-3))</f>
        <v>3116</v>
      </c>
      <c r="J143" cm="1">
        <f t="array" ref="J143">T142+IF(ROW()-3&lt;2,0,INDEX(O:O,ROW()-3))</f>
        <v>13340</v>
      </c>
      <c r="K143" cm="1">
        <f t="array" ref="K143">U142+IF(ROW()-3&lt;2,0,INDEX(P:P,ROW()-3))</f>
        <v>7973</v>
      </c>
      <c r="L143">
        <f>IF(Q143&lt;_xlfn.XLOOKUP(L$1,Capacity!$D$3:$D$7,Capacity!$E$3:$E$7),_xlfn.XLOOKUP(L$1,Capacity!$D$3:$D$7,Capacity!$F$3:$F$7)-Q143,0)</f>
        <v>0</v>
      </c>
      <c r="M143">
        <f>IF(R143&lt;_xlfn.XLOOKUP(M$1,Capacity!$D$3:$D$7,Capacity!$E$3:$E$7),_xlfn.XLOOKUP(M$1,Capacity!$D$3:$D$7,Capacity!$F$3:$F$7)-R143,0)</f>
        <v>0</v>
      </c>
      <c r="N143">
        <f>IF(S143&lt;_xlfn.XLOOKUP(N$1,Capacity!$D$3:$D$7,Capacity!$E$3:$E$7),_xlfn.XLOOKUP(N$1,Capacity!$D$3:$D$7,Capacity!$F$3:$F$7)-S143,0)</f>
        <v>0</v>
      </c>
      <c r="O143">
        <f>IF(T143&lt;_xlfn.XLOOKUP(O$1,Capacity!$D$3:$D$7,Capacity!$E$3:$E$7),_xlfn.XLOOKUP(O$1,Capacity!$D$3:$D$7,Capacity!$F$3:$F$7)-T143,0)</f>
        <v>0</v>
      </c>
      <c r="P143">
        <f>IF(U143&lt;_xlfn.XLOOKUP(P$1,Capacity!$D$3:$D$7,Capacity!$E$3:$E$7),_xlfn.XLOOKUP(P$1,Capacity!$D$3:$D$7,Capacity!$F$3:$F$7)-U143,0)</f>
        <v>0</v>
      </c>
      <c r="Q143">
        <f t="shared" si="13"/>
        <v>1639</v>
      </c>
      <c r="R143">
        <f t="shared" si="14"/>
        <v>8509</v>
      </c>
      <c r="S143">
        <f t="shared" si="15"/>
        <v>3116</v>
      </c>
      <c r="T143">
        <f t="shared" si="16"/>
        <v>13340</v>
      </c>
      <c r="U143">
        <f t="shared" si="17"/>
        <v>7973</v>
      </c>
    </row>
    <row r="144" spans="1:21">
      <c r="A144" s="5">
        <f t="shared" si="18"/>
        <v>46165</v>
      </c>
      <c r="B144">
        <f>SUMIFS('Demand Projection'!$D$2:$D$169,'Demand Projection'!$B$2:$B$169,B$1,'Demand Projection'!$C$2:$C$169,$A144)</f>
        <v>0</v>
      </c>
      <c r="C144">
        <f>SUMIFS('Demand Projection'!$D$2:$D$169,'Demand Projection'!$B$2:$B$169,C$1,'Demand Projection'!$C$2:$C$169,$A144)</f>
        <v>0</v>
      </c>
      <c r="D144">
        <f>SUMIFS('Demand Projection'!$D$2:$D$169,'Demand Projection'!$B$2:$B$169,D$1,'Demand Projection'!$C$2:$C$169,$A144)</f>
        <v>0</v>
      </c>
      <c r="E144">
        <f>SUMIFS('Demand Projection'!$D$2:$D$169,'Demand Projection'!$B$2:$B$169,E$1,'Demand Projection'!$C$2:$C$169,$A144)</f>
        <v>0</v>
      </c>
      <c r="F144">
        <f>SUMIFS('Demand Projection'!$D$2:$D$169,'Demand Projection'!$B$2:$B$169,F$1,'Demand Projection'!$C$2:$C$169,$A144)</f>
        <v>0</v>
      </c>
      <c r="G144" cm="1">
        <f t="array" ref="G144">Q143+IF(ROW()-3&lt;2,0,INDEX(L:L,ROW()-3))</f>
        <v>1639</v>
      </c>
      <c r="H144" cm="1">
        <f t="array" ref="H144">R143+IF(ROW()-3&lt;2,0,INDEX(M:M,ROW()-3))</f>
        <v>8509</v>
      </c>
      <c r="I144" cm="1">
        <f t="array" ref="I144">S143+IF(ROW()-3&lt;2,0,INDEX(N:N,ROW()-3))</f>
        <v>3116</v>
      </c>
      <c r="J144" cm="1">
        <f t="array" ref="J144">T143+IF(ROW()-3&lt;2,0,INDEX(O:O,ROW()-3))</f>
        <v>13340</v>
      </c>
      <c r="K144" cm="1">
        <f t="array" ref="K144">U143+IF(ROW()-3&lt;2,0,INDEX(P:P,ROW()-3))</f>
        <v>7973</v>
      </c>
      <c r="L144">
        <f>IF(Q144&lt;_xlfn.XLOOKUP(L$1,Capacity!$D$3:$D$7,Capacity!$E$3:$E$7),_xlfn.XLOOKUP(L$1,Capacity!$D$3:$D$7,Capacity!$F$3:$F$7)-Q144,0)</f>
        <v>0</v>
      </c>
      <c r="M144">
        <f>IF(R144&lt;_xlfn.XLOOKUP(M$1,Capacity!$D$3:$D$7,Capacity!$E$3:$E$7),_xlfn.XLOOKUP(M$1,Capacity!$D$3:$D$7,Capacity!$F$3:$F$7)-R144,0)</f>
        <v>0</v>
      </c>
      <c r="N144">
        <f>IF(S144&lt;_xlfn.XLOOKUP(N$1,Capacity!$D$3:$D$7,Capacity!$E$3:$E$7),_xlfn.XLOOKUP(N$1,Capacity!$D$3:$D$7,Capacity!$F$3:$F$7)-S144,0)</f>
        <v>0</v>
      </c>
      <c r="O144">
        <f>IF(T144&lt;_xlfn.XLOOKUP(O$1,Capacity!$D$3:$D$7,Capacity!$E$3:$E$7),_xlfn.XLOOKUP(O$1,Capacity!$D$3:$D$7,Capacity!$F$3:$F$7)-T144,0)</f>
        <v>0</v>
      </c>
      <c r="P144">
        <f>IF(U144&lt;_xlfn.XLOOKUP(P$1,Capacity!$D$3:$D$7,Capacity!$E$3:$E$7),_xlfn.XLOOKUP(P$1,Capacity!$D$3:$D$7,Capacity!$F$3:$F$7)-U144,0)</f>
        <v>0</v>
      </c>
      <c r="Q144">
        <f t="shared" si="13"/>
        <v>1639</v>
      </c>
      <c r="R144">
        <f t="shared" si="14"/>
        <v>8509</v>
      </c>
      <c r="S144">
        <f t="shared" si="15"/>
        <v>3116</v>
      </c>
      <c r="T144">
        <f t="shared" si="16"/>
        <v>13340</v>
      </c>
      <c r="U144">
        <f t="shared" si="17"/>
        <v>7973</v>
      </c>
    </row>
    <row r="145" spans="1:21">
      <c r="A145" s="5">
        <f t="shared" si="18"/>
        <v>46166</v>
      </c>
      <c r="B145">
        <f>SUMIFS('Demand Projection'!$D$2:$D$169,'Demand Projection'!$B$2:$B$169,B$1,'Demand Projection'!$C$2:$C$169,$A145)</f>
        <v>1090</v>
      </c>
      <c r="C145">
        <f>SUMIFS('Demand Projection'!$D$2:$D$169,'Demand Projection'!$B$2:$B$169,C$1,'Demand Projection'!$C$2:$C$169,$A145)</f>
        <v>0</v>
      </c>
      <c r="D145">
        <f>SUMIFS('Demand Projection'!$D$2:$D$169,'Demand Projection'!$B$2:$B$169,D$1,'Demand Projection'!$C$2:$C$169,$A145)</f>
        <v>0</v>
      </c>
      <c r="E145">
        <f>SUMIFS('Demand Projection'!$D$2:$D$169,'Demand Projection'!$B$2:$B$169,E$1,'Demand Projection'!$C$2:$C$169,$A145)</f>
        <v>0</v>
      </c>
      <c r="F145">
        <f>SUMIFS('Demand Projection'!$D$2:$D$169,'Demand Projection'!$B$2:$B$169,F$1,'Demand Projection'!$C$2:$C$169,$A145)</f>
        <v>0</v>
      </c>
      <c r="G145" cm="1">
        <f t="array" ref="G145">Q144+IF(ROW()-3&lt;2,0,INDEX(L:L,ROW()-3))</f>
        <v>1639</v>
      </c>
      <c r="H145" cm="1">
        <f t="array" ref="H145">R144+IF(ROW()-3&lt;2,0,INDEX(M:M,ROW()-3))</f>
        <v>8509</v>
      </c>
      <c r="I145" cm="1">
        <f t="array" ref="I145">S144+IF(ROW()-3&lt;2,0,INDEX(N:N,ROW()-3))</f>
        <v>3116</v>
      </c>
      <c r="J145" cm="1">
        <f t="array" ref="J145">T144+IF(ROW()-3&lt;2,0,INDEX(O:O,ROW()-3))</f>
        <v>13340</v>
      </c>
      <c r="K145" cm="1">
        <f t="array" ref="K145">U144+IF(ROW()-3&lt;2,0,INDEX(P:P,ROW()-3))</f>
        <v>7973</v>
      </c>
      <c r="L145">
        <f>IF(Q145&lt;_xlfn.XLOOKUP(L$1,Capacity!$D$3:$D$7,Capacity!$E$3:$E$7),_xlfn.XLOOKUP(L$1,Capacity!$D$3:$D$7,Capacity!$F$3:$F$7)-Q145,0)</f>
        <v>2083</v>
      </c>
      <c r="M145">
        <f>IF(R145&lt;_xlfn.XLOOKUP(M$1,Capacity!$D$3:$D$7,Capacity!$E$3:$E$7),_xlfn.XLOOKUP(M$1,Capacity!$D$3:$D$7,Capacity!$F$3:$F$7)-R145,0)</f>
        <v>0</v>
      </c>
      <c r="N145">
        <f>IF(S145&lt;_xlfn.XLOOKUP(N$1,Capacity!$D$3:$D$7,Capacity!$E$3:$E$7),_xlfn.XLOOKUP(N$1,Capacity!$D$3:$D$7,Capacity!$F$3:$F$7)-S145,0)</f>
        <v>0</v>
      </c>
      <c r="O145">
        <f>IF(T145&lt;_xlfn.XLOOKUP(O$1,Capacity!$D$3:$D$7,Capacity!$E$3:$E$7),_xlfn.XLOOKUP(O$1,Capacity!$D$3:$D$7,Capacity!$F$3:$F$7)-T145,0)</f>
        <v>0</v>
      </c>
      <c r="P145">
        <f>IF(U145&lt;_xlfn.XLOOKUP(P$1,Capacity!$D$3:$D$7,Capacity!$E$3:$E$7),_xlfn.XLOOKUP(P$1,Capacity!$D$3:$D$7,Capacity!$F$3:$F$7)-U145,0)</f>
        <v>0</v>
      </c>
      <c r="Q145">
        <f t="shared" si="13"/>
        <v>549</v>
      </c>
      <c r="R145">
        <f t="shared" si="14"/>
        <v>8509</v>
      </c>
      <c r="S145">
        <f t="shared" si="15"/>
        <v>3116</v>
      </c>
      <c r="T145">
        <f t="shared" si="16"/>
        <v>13340</v>
      </c>
      <c r="U145">
        <f t="shared" si="17"/>
        <v>7973</v>
      </c>
    </row>
    <row r="146" spans="1:21">
      <c r="A146" s="5">
        <f t="shared" si="18"/>
        <v>46167</v>
      </c>
      <c r="B146">
        <f>SUMIFS('Demand Projection'!$D$2:$D$169,'Demand Projection'!$B$2:$B$169,B$1,'Demand Projection'!$C$2:$C$169,$A146)</f>
        <v>0</v>
      </c>
      <c r="C146">
        <f>SUMIFS('Demand Projection'!$D$2:$D$169,'Demand Projection'!$B$2:$B$169,C$1,'Demand Projection'!$C$2:$C$169,$A146)</f>
        <v>0</v>
      </c>
      <c r="D146">
        <f>SUMIFS('Demand Projection'!$D$2:$D$169,'Demand Projection'!$B$2:$B$169,D$1,'Demand Projection'!$C$2:$C$169,$A146)</f>
        <v>0</v>
      </c>
      <c r="E146">
        <f>SUMIFS('Demand Projection'!$D$2:$D$169,'Demand Projection'!$B$2:$B$169,E$1,'Demand Projection'!$C$2:$C$169,$A146)</f>
        <v>0</v>
      </c>
      <c r="F146">
        <f>SUMIFS('Demand Projection'!$D$2:$D$169,'Demand Projection'!$B$2:$B$169,F$1,'Demand Projection'!$C$2:$C$169,$A146)</f>
        <v>0</v>
      </c>
      <c r="G146" cm="1">
        <f t="array" ref="G146">Q145+IF(ROW()-3&lt;2,0,INDEX(L:L,ROW()-3))</f>
        <v>549</v>
      </c>
      <c r="H146" cm="1">
        <f t="array" ref="H146">R145+IF(ROW()-3&lt;2,0,INDEX(M:M,ROW()-3))</f>
        <v>8509</v>
      </c>
      <c r="I146" cm="1">
        <f t="array" ref="I146">S145+IF(ROW()-3&lt;2,0,INDEX(N:N,ROW()-3))</f>
        <v>3116</v>
      </c>
      <c r="J146" cm="1">
        <f t="array" ref="J146">T145+IF(ROW()-3&lt;2,0,INDEX(O:O,ROW()-3))</f>
        <v>13340</v>
      </c>
      <c r="K146" cm="1">
        <f t="array" ref="K146">U145+IF(ROW()-3&lt;2,0,INDEX(P:P,ROW()-3))</f>
        <v>7973</v>
      </c>
      <c r="L146">
        <f>IF(Q146&lt;_xlfn.XLOOKUP(L$1,Capacity!$D$3:$D$7,Capacity!$E$3:$E$7),_xlfn.XLOOKUP(L$1,Capacity!$D$3:$D$7,Capacity!$F$3:$F$7)-Q146,0)</f>
        <v>2083</v>
      </c>
      <c r="M146">
        <f>IF(R146&lt;_xlfn.XLOOKUP(M$1,Capacity!$D$3:$D$7,Capacity!$E$3:$E$7),_xlfn.XLOOKUP(M$1,Capacity!$D$3:$D$7,Capacity!$F$3:$F$7)-R146,0)</f>
        <v>0</v>
      </c>
      <c r="N146">
        <f>IF(S146&lt;_xlfn.XLOOKUP(N$1,Capacity!$D$3:$D$7,Capacity!$E$3:$E$7),_xlfn.XLOOKUP(N$1,Capacity!$D$3:$D$7,Capacity!$F$3:$F$7)-S146,0)</f>
        <v>0</v>
      </c>
      <c r="O146">
        <f>IF(T146&lt;_xlfn.XLOOKUP(O$1,Capacity!$D$3:$D$7,Capacity!$E$3:$E$7),_xlfn.XLOOKUP(O$1,Capacity!$D$3:$D$7,Capacity!$F$3:$F$7)-T146,0)</f>
        <v>0</v>
      </c>
      <c r="P146">
        <f>IF(U146&lt;_xlfn.XLOOKUP(P$1,Capacity!$D$3:$D$7,Capacity!$E$3:$E$7),_xlfn.XLOOKUP(P$1,Capacity!$D$3:$D$7,Capacity!$F$3:$F$7)-U146,0)</f>
        <v>0</v>
      </c>
      <c r="Q146">
        <f t="shared" si="13"/>
        <v>549</v>
      </c>
      <c r="R146">
        <f t="shared" si="14"/>
        <v>8509</v>
      </c>
      <c r="S146">
        <f t="shared" si="15"/>
        <v>3116</v>
      </c>
      <c r="T146">
        <f t="shared" si="16"/>
        <v>13340</v>
      </c>
      <c r="U146">
        <f t="shared" si="17"/>
        <v>7973</v>
      </c>
    </row>
    <row r="147" spans="1:21">
      <c r="A147" s="5">
        <f t="shared" si="18"/>
        <v>46168</v>
      </c>
      <c r="B147">
        <f>SUMIFS('Demand Projection'!$D$2:$D$169,'Demand Projection'!$B$2:$B$169,B$1,'Demand Projection'!$C$2:$C$169,$A147)</f>
        <v>0</v>
      </c>
      <c r="C147">
        <f>SUMIFS('Demand Projection'!$D$2:$D$169,'Demand Projection'!$B$2:$B$169,C$1,'Demand Projection'!$C$2:$C$169,$A147)</f>
        <v>0</v>
      </c>
      <c r="D147">
        <f>SUMIFS('Demand Projection'!$D$2:$D$169,'Demand Projection'!$B$2:$B$169,D$1,'Demand Projection'!$C$2:$C$169,$A147)</f>
        <v>0</v>
      </c>
      <c r="E147">
        <f>SUMIFS('Demand Projection'!$D$2:$D$169,'Demand Projection'!$B$2:$B$169,E$1,'Demand Projection'!$C$2:$C$169,$A147)</f>
        <v>0</v>
      </c>
      <c r="F147">
        <f>SUMIFS('Demand Projection'!$D$2:$D$169,'Demand Projection'!$B$2:$B$169,F$1,'Demand Projection'!$C$2:$C$169,$A147)</f>
        <v>0</v>
      </c>
      <c r="G147" cm="1">
        <f t="array" ref="G147">Q146+IF(ROW()-3&lt;2,0,INDEX(L:L,ROW()-3))</f>
        <v>549</v>
      </c>
      <c r="H147" cm="1">
        <f t="array" ref="H147">R146+IF(ROW()-3&lt;2,0,INDEX(M:M,ROW()-3))</f>
        <v>8509</v>
      </c>
      <c r="I147" cm="1">
        <f t="array" ref="I147">S146+IF(ROW()-3&lt;2,0,INDEX(N:N,ROW()-3))</f>
        <v>3116</v>
      </c>
      <c r="J147" cm="1">
        <f t="array" ref="J147">T146+IF(ROW()-3&lt;2,0,INDEX(O:O,ROW()-3))</f>
        <v>13340</v>
      </c>
      <c r="K147" cm="1">
        <f t="array" ref="K147">U146+IF(ROW()-3&lt;2,0,INDEX(P:P,ROW()-3))</f>
        <v>7973</v>
      </c>
      <c r="L147">
        <f>IF(Q147&lt;_xlfn.XLOOKUP(L$1,Capacity!$D$3:$D$7,Capacity!$E$3:$E$7),_xlfn.XLOOKUP(L$1,Capacity!$D$3:$D$7,Capacity!$F$3:$F$7)-Q147,0)</f>
        <v>2083</v>
      </c>
      <c r="M147">
        <f>IF(R147&lt;_xlfn.XLOOKUP(M$1,Capacity!$D$3:$D$7,Capacity!$E$3:$E$7),_xlfn.XLOOKUP(M$1,Capacity!$D$3:$D$7,Capacity!$F$3:$F$7)-R147,0)</f>
        <v>0</v>
      </c>
      <c r="N147">
        <f>IF(S147&lt;_xlfn.XLOOKUP(N$1,Capacity!$D$3:$D$7,Capacity!$E$3:$E$7),_xlfn.XLOOKUP(N$1,Capacity!$D$3:$D$7,Capacity!$F$3:$F$7)-S147,0)</f>
        <v>0</v>
      </c>
      <c r="O147">
        <f>IF(T147&lt;_xlfn.XLOOKUP(O$1,Capacity!$D$3:$D$7,Capacity!$E$3:$E$7),_xlfn.XLOOKUP(O$1,Capacity!$D$3:$D$7,Capacity!$F$3:$F$7)-T147,0)</f>
        <v>0</v>
      </c>
      <c r="P147">
        <f>IF(U147&lt;_xlfn.XLOOKUP(P$1,Capacity!$D$3:$D$7,Capacity!$E$3:$E$7),_xlfn.XLOOKUP(P$1,Capacity!$D$3:$D$7,Capacity!$F$3:$F$7)-U147,0)</f>
        <v>0</v>
      </c>
      <c r="Q147">
        <f t="shared" si="13"/>
        <v>549</v>
      </c>
      <c r="R147">
        <f t="shared" si="14"/>
        <v>8509</v>
      </c>
      <c r="S147">
        <f t="shared" si="15"/>
        <v>3116</v>
      </c>
      <c r="T147">
        <f t="shared" si="16"/>
        <v>13340</v>
      </c>
      <c r="U147">
        <f t="shared" si="17"/>
        <v>7973</v>
      </c>
    </row>
    <row r="148" spans="1:21">
      <c r="A148" s="5">
        <f t="shared" si="18"/>
        <v>46169</v>
      </c>
      <c r="B148">
        <f>SUMIFS('Demand Projection'!$D$2:$D$169,'Demand Projection'!$B$2:$B$169,B$1,'Demand Projection'!$C$2:$C$169,$A148)</f>
        <v>0</v>
      </c>
      <c r="C148">
        <f>SUMIFS('Demand Projection'!$D$2:$D$169,'Demand Projection'!$B$2:$B$169,C$1,'Demand Projection'!$C$2:$C$169,$A148)</f>
        <v>0</v>
      </c>
      <c r="D148">
        <f>SUMIFS('Demand Projection'!$D$2:$D$169,'Demand Projection'!$B$2:$B$169,D$1,'Demand Projection'!$C$2:$C$169,$A148)</f>
        <v>0</v>
      </c>
      <c r="E148">
        <f>SUMIFS('Demand Projection'!$D$2:$D$169,'Demand Projection'!$B$2:$B$169,E$1,'Demand Projection'!$C$2:$C$169,$A148)</f>
        <v>0</v>
      </c>
      <c r="F148">
        <f>SUMIFS('Demand Projection'!$D$2:$D$169,'Demand Projection'!$B$2:$B$169,F$1,'Demand Projection'!$C$2:$C$169,$A148)</f>
        <v>0</v>
      </c>
      <c r="G148" cm="1">
        <f t="array" ref="G148">Q147+IF(ROW()-3&lt;2,0,INDEX(L:L,ROW()-3))</f>
        <v>2632</v>
      </c>
      <c r="H148" cm="1">
        <f t="array" ref="H148">R147+IF(ROW()-3&lt;2,0,INDEX(M:M,ROW()-3))</f>
        <v>8509</v>
      </c>
      <c r="I148" cm="1">
        <f t="array" ref="I148">S147+IF(ROW()-3&lt;2,0,INDEX(N:N,ROW()-3))</f>
        <v>3116</v>
      </c>
      <c r="J148" cm="1">
        <f t="array" ref="J148">T147+IF(ROW()-3&lt;2,0,INDEX(O:O,ROW()-3))</f>
        <v>13340</v>
      </c>
      <c r="K148" cm="1">
        <f t="array" ref="K148">U147+IF(ROW()-3&lt;2,0,INDEX(P:P,ROW()-3))</f>
        <v>7973</v>
      </c>
      <c r="L148">
        <f>IF(Q148&lt;_xlfn.XLOOKUP(L$1,Capacity!$D$3:$D$7,Capacity!$E$3:$E$7),_xlfn.XLOOKUP(L$1,Capacity!$D$3:$D$7,Capacity!$F$3:$F$7)-Q148,0)</f>
        <v>0</v>
      </c>
      <c r="M148">
        <f>IF(R148&lt;_xlfn.XLOOKUP(M$1,Capacity!$D$3:$D$7,Capacity!$E$3:$E$7),_xlfn.XLOOKUP(M$1,Capacity!$D$3:$D$7,Capacity!$F$3:$F$7)-R148,0)</f>
        <v>0</v>
      </c>
      <c r="N148">
        <f>IF(S148&lt;_xlfn.XLOOKUP(N$1,Capacity!$D$3:$D$7,Capacity!$E$3:$E$7),_xlfn.XLOOKUP(N$1,Capacity!$D$3:$D$7,Capacity!$F$3:$F$7)-S148,0)</f>
        <v>0</v>
      </c>
      <c r="O148">
        <f>IF(T148&lt;_xlfn.XLOOKUP(O$1,Capacity!$D$3:$D$7,Capacity!$E$3:$E$7),_xlfn.XLOOKUP(O$1,Capacity!$D$3:$D$7,Capacity!$F$3:$F$7)-T148,0)</f>
        <v>0</v>
      </c>
      <c r="P148">
        <f>IF(U148&lt;_xlfn.XLOOKUP(P$1,Capacity!$D$3:$D$7,Capacity!$E$3:$E$7),_xlfn.XLOOKUP(P$1,Capacity!$D$3:$D$7,Capacity!$F$3:$F$7)-U148,0)</f>
        <v>0</v>
      </c>
      <c r="Q148">
        <f t="shared" si="13"/>
        <v>2632</v>
      </c>
      <c r="R148">
        <f t="shared" si="14"/>
        <v>8509</v>
      </c>
      <c r="S148">
        <f t="shared" si="15"/>
        <v>3116</v>
      </c>
      <c r="T148">
        <f t="shared" si="16"/>
        <v>13340</v>
      </c>
      <c r="U148">
        <f t="shared" si="17"/>
        <v>7973</v>
      </c>
    </row>
    <row r="149" spans="1:21">
      <c r="A149" s="5">
        <f t="shared" si="18"/>
        <v>46170</v>
      </c>
      <c r="B149">
        <f>SUMIFS('Demand Projection'!$D$2:$D$169,'Demand Projection'!$B$2:$B$169,B$1,'Demand Projection'!$C$2:$C$169,$A149)</f>
        <v>0</v>
      </c>
      <c r="C149">
        <f>SUMIFS('Demand Projection'!$D$2:$D$169,'Demand Projection'!$B$2:$B$169,C$1,'Demand Projection'!$C$2:$C$169,$A149)</f>
        <v>0</v>
      </c>
      <c r="D149">
        <f>SUMIFS('Demand Projection'!$D$2:$D$169,'Demand Projection'!$B$2:$B$169,D$1,'Demand Projection'!$C$2:$C$169,$A149)</f>
        <v>0</v>
      </c>
      <c r="E149">
        <f>SUMIFS('Demand Projection'!$D$2:$D$169,'Demand Projection'!$B$2:$B$169,E$1,'Demand Projection'!$C$2:$C$169,$A149)</f>
        <v>3267</v>
      </c>
      <c r="F149">
        <f>SUMIFS('Demand Projection'!$D$2:$D$169,'Demand Projection'!$B$2:$B$169,F$1,'Demand Projection'!$C$2:$C$169,$A149)</f>
        <v>2178</v>
      </c>
      <c r="G149" cm="1">
        <f t="array" ref="G149">Q148+IF(ROW()-3&lt;2,0,INDEX(L:L,ROW()-3))</f>
        <v>4715</v>
      </c>
      <c r="H149" cm="1">
        <f t="array" ref="H149">R148+IF(ROW()-3&lt;2,0,INDEX(M:M,ROW()-3))</f>
        <v>8509</v>
      </c>
      <c r="I149" cm="1">
        <f t="array" ref="I149">S148+IF(ROW()-3&lt;2,0,INDEX(N:N,ROW()-3))</f>
        <v>3116</v>
      </c>
      <c r="J149" cm="1">
        <f t="array" ref="J149">T148+IF(ROW()-3&lt;2,0,INDEX(O:O,ROW()-3))</f>
        <v>13340</v>
      </c>
      <c r="K149" cm="1">
        <f t="array" ref="K149">U148+IF(ROW()-3&lt;2,0,INDEX(P:P,ROW()-3))</f>
        <v>7973</v>
      </c>
      <c r="L149">
        <f>IF(Q149&lt;_xlfn.XLOOKUP(L$1,Capacity!$D$3:$D$7,Capacity!$E$3:$E$7),_xlfn.XLOOKUP(L$1,Capacity!$D$3:$D$7,Capacity!$F$3:$F$7)-Q149,0)</f>
        <v>0</v>
      </c>
      <c r="M149">
        <f>IF(R149&lt;_xlfn.XLOOKUP(M$1,Capacity!$D$3:$D$7,Capacity!$E$3:$E$7),_xlfn.XLOOKUP(M$1,Capacity!$D$3:$D$7,Capacity!$F$3:$F$7)-R149,0)</f>
        <v>0</v>
      </c>
      <c r="N149">
        <f>IF(S149&lt;_xlfn.XLOOKUP(N$1,Capacity!$D$3:$D$7,Capacity!$E$3:$E$7),_xlfn.XLOOKUP(N$1,Capacity!$D$3:$D$7,Capacity!$F$3:$F$7)-S149,0)</f>
        <v>0</v>
      </c>
      <c r="O149">
        <f>IF(T149&lt;_xlfn.XLOOKUP(O$1,Capacity!$D$3:$D$7,Capacity!$E$3:$E$7),_xlfn.XLOOKUP(O$1,Capacity!$D$3:$D$7,Capacity!$F$3:$F$7)-T149,0)</f>
        <v>0</v>
      </c>
      <c r="P149">
        <f>IF(U149&lt;_xlfn.XLOOKUP(P$1,Capacity!$D$3:$D$7,Capacity!$E$3:$E$7),_xlfn.XLOOKUP(P$1,Capacity!$D$3:$D$7,Capacity!$F$3:$F$7)-U149,0)</f>
        <v>0</v>
      </c>
      <c r="Q149">
        <f t="shared" si="13"/>
        <v>4715</v>
      </c>
      <c r="R149">
        <f t="shared" si="14"/>
        <v>8509</v>
      </c>
      <c r="S149">
        <f t="shared" si="15"/>
        <v>3116</v>
      </c>
      <c r="T149">
        <f t="shared" si="16"/>
        <v>10073</v>
      </c>
      <c r="U149">
        <f t="shared" si="17"/>
        <v>5795</v>
      </c>
    </row>
    <row r="150" spans="1:21">
      <c r="A150" s="5">
        <f t="shared" si="18"/>
        <v>46171</v>
      </c>
      <c r="B150">
        <f>SUMIFS('Demand Projection'!$D$2:$D$169,'Demand Projection'!$B$2:$B$169,B$1,'Demand Projection'!$C$2:$C$169,$A150)</f>
        <v>0</v>
      </c>
      <c r="C150">
        <f>SUMIFS('Demand Projection'!$D$2:$D$169,'Demand Projection'!$B$2:$B$169,C$1,'Demand Projection'!$C$2:$C$169,$A150)</f>
        <v>0</v>
      </c>
      <c r="D150">
        <f>SUMIFS('Demand Projection'!$D$2:$D$169,'Demand Projection'!$B$2:$B$169,D$1,'Demand Projection'!$C$2:$C$169,$A150)</f>
        <v>0</v>
      </c>
      <c r="E150">
        <f>SUMIFS('Demand Projection'!$D$2:$D$169,'Demand Projection'!$B$2:$B$169,E$1,'Demand Projection'!$C$2:$C$169,$A150)</f>
        <v>0</v>
      </c>
      <c r="F150">
        <f>SUMIFS('Demand Projection'!$D$2:$D$169,'Demand Projection'!$B$2:$B$169,F$1,'Demand Projection'!$C$2:$C$169,$A150)</f>
        <v>0</v>
      </c>
      <c r="G150" cm="1">
        <f t="array" ref="G150">Q149+IF(ROW()-3&lt;2,0,INDEX(L:L,ROW()-3))</f>
        <v>6798</v>
      </c>
      <c r="H150" cm="1">
        <f t="array" ref="H150">R149+IF(ROW()-3&lt;2,0,INDEX(M:M,ROW()-3))</f>
        <v>8509</v>
      </c>
      <c r="I150" cm="1">
        <f t="array" ref="I150">S149+IF(ROW()-3&lt;2,0,INDEX(N:N,ROW()-3))</f>
        <v>3116</v>
      </c>
      <c r="J150" cm="1">
        <f t="array" ref="J150">T149+IF(ROW()-3&lt;2,0,INDEX(O:O,ROW()-3))</f>
        <v>10073</v>
      </c>
      <c r="K150" cm="1">
        <f t="array" ref="K150">U149+IF(ROW()-3&lt;2,0,INDEX(P:P,ROW()-3))</f>
        <v>5795</v>
      </c>
      <c r="L150">
        <f>IF(Q150&lt;_xlfn.XLOOKUP(L$1,Capacity!$D$3:$D$7,Capacity!$E$3:$E$7),_xlfn.XLOOKUP(L$1,Capacity!$D$3:$D$7,Capacity!$F$3:$F$7)-Q150,0)</f>
        <v>0</v>
      </c>
      <c r="M150">
        <f>IF(R150&lt;_xlfn.XLOOKUP(M$1,Capacity!$D$3:$D$7,Capacity!$E$3:$E$7),_xlfn.XLOOKUP(M$1,Capacity!$D$3:$D$7,Capacity!$F$3:$F$7)-R150,0)</f>
        <v>0</v>
      </c>
      <c r="N150">
        <f>IF(S150&lt;_xlfn.XLOOKUP(N$1,Capacity!$D$3:$D$7,Capacity!$E$3:$E$7),_xlfn.XLOOKUP(N$1,Capacity!$D$3:$D$7,Capacity!$F$3:$F$7)-S150,0)</f>
        <v>0</v>
      </c>
      <c r="O150">
        <f>IF(T150&lt;_xlfn.XLOOKUP(O$1,Capacity!$D$3:$D$7,Capacity!$E$3:$E$7),_xlfn.XLOOKUP(O$1,Capacity!$D$3:$D$7,Capacity!$F$3:$F$7)-T150,0)</f>
        <v>0</v>
      </c>
      <c r="P150">
        <f>IF(U150&lt;_xlfn.XLOOKUP(P$1,Capacity!$D$3:$D$7,Capacity!$E$3:$E$7),_xlfn.XLOOKUP(P$1,Capacity!$D$3:$D$7,Capacity!$F$3:$F$7)-U150,0)</f>
        <v>0</v>
      </c>
      <c r="Q150">
        <f t="shared" si="13"/>
        <v>6798</v>
      </c>
      <c r="R150">
        <f t="shared" si="14"/>
        <v>8509</v>
      </c>
      <c r="S150">
        <f t="shared" si="15"/>
        <v>3116</v>
      </c>
      <c r="T150">
        <f t="shared" si="16"/>
        <v>10073</v>
      </c>
      <c r="U150">
        <f t="shared" si="17"/>
        <v>5795</v>
      </c>
    </row>
    <row r="151" spans="1:21">
      <c r="A151" s="5">
        <f t="shared" si="18"/>
        <v>46172</v>
      </c>
      <c r="B151">
        <f>SUMIFS('Demand Projection'!$D$2:$D$169,'Demand Projection'!$B$2:$B$169,B$1,'Demand Projection'!$C$2:$C$169,$A151)</f>
        <v>0</v>
      </c>
      <c r="C151">
        <f>SUMIFS('Demand Projection'!$D$2:$D$169,'Demand Projection'!$B$2:$B$169,C$1,'Demand Projection'!$C$2:$C$169,$A151)</f>
        <v>0</v>
      </c>
      <c r="D151">
        <f>SUMIFS('Demand Projection'!$D$2:$D$169,'Demand Projection'!$B$2:$B$169,D$1,'Demand Projection'!$C$2:$C$169,$A151)</f>
        <v>0</v>
      </c>
      <c r="E151">
        <f>SUMIFS('Demand Projection'!$D$2:$D$169,'Demand Projection'!$B$2:$B$169,E$1,'Demand Projection'!$C$2:$C$169,$A151)</f>
        <v>0</v>
      </c>
      <c r="F151">
        <f>SUMIFS('Demand Projection'!$D$2:$D$169,'Demand Projection'!$B$2:$B$169,F$1,'Demand Projection'!$C$2:$C$169,$A151)</f>
        <v>0</v>
      </c>
      <c r="G151" cm="1">
        <f t="array" ref="G151">Q150+IF(ROW()-3&lt;2,0,INDEX(L:L,ROW()-3))</f>
        <v>6798</v>
      </c>
      <c r="H151" cm="1">
        <f t="array" ref="H151">R150+IF(ROW()-3&lt;2,0,INDEX(M:M,ROW()-3))</f>
        <v>8509</v>
      </c>
      <c r="I151" cm="1">
        <f t="array" ref="I151">S150+IF(ROW()-3&lt;2,0,INDEX(N:N,ROW()-3))</f>
        <v>3116</v>
      </c>
      <c r="J151" cm="1">
        <f t="array" ref="J151">T150+IF(ROW()-3&lt;2,0,INDEX(O:O,ROW()-3))</f>
        <v>10073</v>
      </c>
      <c r="K151" cm="1">
        <f t="array" ref="K151">U150+IF(ROW()-3&lt;2,0,INDEX(P:P,ROW()-3))</f>
        <v>5795</v>
      </c>
      <c r="L151">
        <f>IF(Q151&lt;_xlfn.XLOOKUP(L$1,Capacity!$D$3:$D$7,Capacity!$E$3:$E$7),_xlfn.XLOOKUP(L$1,Capacity!$D$3:$D$7,Capacity!$F$3:$F$7)-Q151,0)</f>
        <v>0</v>
      </c>
      <c r="M151">
        <f>IF(R151&lt;_xlfn.XLOOKUP(M$1,Capacity!$D$3:$D$7,Capacity!$E$3:$E$7),_xlfn.XLOOKUP(M$1,Capacity!$D$3:$D$7,Capacity!$F$3:$F$7)-R151,0)</f>
        <v>0</v>
      </c>
      <c r="N151">
        <f>IF(S151&lt;_xlfn.XLOOKUP(N$1,Capacity!$D$3:$D$7,Capacity!$E$3:$E$7),_xlfn.XLOOKUP(N$1,Capacity!$D$3:$D$7,Capacity!$F$3:$F$7)-S151,0)</f>
        <v>0</v>
      </c>
      <c r="O151">
        <f>IF(T151&lt;_xlfn.XLOOKUP(O$1,Capacity!$D$3:$D$7,Capacity!$E$3:$E$7),_xlfn.XLOOKUP(O$1,Capacity!$D$3:$D$7,Capacity!$F$3:$F$7)-T151,0)</f>
        <v>0</v>
      </c>
      <c r="P151">
        <f>IF(U151&lt;_xlfn.XLOOKUP(P$1,Capacity!$D$3:$D$7,Capacity!$E$3:$E$7),_xlfn.XLOOKUP(P$1,Capacity!$D$3:$D$7,Capacity!$F$3:$F$7)-U151,0)</f>
        <v>0</v>
      </c>
      <c r="Q151">
        <f t="shared" si="13"/>
        <v>6798</v>
      </c>
      <c r="R151">
        <f t="shared" si="14"/>
        <v>8509</v>
      </c>
      <c r="S151">
        <f t="shared" si="15"/>
        <v>3116</v>
      </c>
      <c r="T151">
        <f t="shared" si="16"/>
        <v>10073</v>
      </c>
      <c r="U151">
        <f t="shared" si="17"/>
        <v>5795</v>
      </c>
    </row>
    <row r="152" spans="1:21">
      <c r="A152" s="5">
        <f t="shared" si="18"/>
        <v>46173</v>
      </c>
      <c r="B152">
        <f>SUMIFS('Demand Projection'!$D$2:$D$169,'Demand Projection'!$B$2:$B$169,B$1,'Demand Projection'!$C$2:$C$169,$A152)</f>
        <v>0</v>
      </c>
      <c r="C152">
        <f>SUMIFS('Demand Projection'!$D$2:$D$169,'Demand Projection'!$B$2:$B$169,C$1,'Demand Projection'!$C$2:$C$169,$A152)</f>
        <v>0</v>
      </c>
      <c r="D152">
        <f>SUMIFS('Demand Projection'!$D$2:$D$169,'Demand Projection'!$B$2:$B$169,D$1,'Demand Projection'!$C$2:$C$169,$A152)</f>
        <v>0</v>
      </c>
      <c r="E152">
        <f>SUMIFS('Demand Projection'!$D$2:$D$169,'Demand Projection'!$B$2:$B$169,E$1,'Demand Projection'!$C$2:$C$169,$A152)</f>
        <v>0</v>
      </c>
      <c r="F152">
        <f>SUMIFS('Demand Projection'!$D$2:$D$169,'Demand Projection'!$B$2:$B$169,F$1,'Demand Projection'!$C$2:$C$169,$A152)</f>
        <v>0</v>
      </c>
      <c r="G152" cm="1">
        <f t="array" ref="G152">Q151+IF(ROW()-3&lt;2,0,INDEX(L:L,ROW()-3))</f>
        <v>6798</v>
      </c>
      <c r="H152" cm="1">
        <f t="array" ref="H152">R151+IF(ROW()-3&lt;2,0,INDEX(M:M,ROW()-3))</f>
        <v>8509</v>
      </c>
      <c r="I152" cm="1">
        <f t="array" ref="I152">S151+IF(ROW()-3&lt;2,0,INDEX(N:N,ROW()-3))</f>
        <v>3116</v>
      </c>
      <c r="J152" cm="1">
        <f t="array" ref="J152">T151+IF(ROW()-3&lt;2,0,INDEX(O:O,ROW()-3))</f>
        <v>10073</v>
      </c>
      <c r="K152" cm="1">
        <f t="array" ref="K152">U151+IF(ROW()-3&lt;2,0,INDEX(P:P,ROW()-3))</f>
        <v>5795</v>
      </c>
      <c r="L152">
        <f>IF(Q152&lt;_xlfn.XLOOKUP(L$1,Capacity!$D$3:$D$7,Capacity!$E$3:$E$7),_xlfn.XLOOKUP(L$1,Capacity!$D$3:$D$7,Capacity!$F$3:$F$7)-Q152,0)</f>
        <v>0</v>
      </c>
      <c r="M152">
        <f>IF(R152&lt;_xlfn.XLOOKUP(M$1,Capacity!$D$3:$D$7,Capacity!$E$3:$E$7),_xlfn.XLOOKUP(M$1,Capacity!$D$3:$D$7,Capacity!$F$3:$F$7)-R152,0)</f>
        <v>0</v>
      </c>
      <c r="N152">
        <f>IF(S152&lt;_xlfn.XLOOKUP(N$1,Capacity!$D$3:$D$7,Capacity!$E$3:$E$7),_xlfn.XLOOKUP(N$1,Capacity!$D$3:$D$7,Capacity!$F$3:$F$7)-S152,0)</f>
        <v>0</v>
      </c>
      <c r="O152">
        <f>IF(T152&lt;_xlfn.XLOOKUP(O$1,Capacity!$D$3:$D$7,Capacity!$E$3:$E$7),_xlfn.XLOOKUP(O$1,Capacity!$D$3:$D$7,Capacity!$F$3:$F$7)-T152,0)</f>
        <v>0</v>
      </c>
      <c r="P152">
        <f>IF(U152&lt;_xlfn.XLOOKUP(P$1,Capacity!$D$3:$D$7,Capacity!$E$3:$E$7),_xlfn.XLOOKUP(P$1,Capacity!$D$3:$D$7,Capacity!$F$3:$F$7)-U152,0)</f>
        <v>0</v>
      </c>
      <c r="Q152">
        <f t="shared" si="13"/>
        <v>6798</v>
      </c>
      <c r="R152">
        <f t="shared" si="14"/>
        <v>8509</v>
      </c>
      <c r="S152">
        <f t="shared" si="15"/>
        <v>3116</v>
      </c>
      <c r="T152">
        <f t="shared" si="16"/>
        <v>10073</v>
      </c>
      <c r="U152">
        <f t="shared" si="17"/>
        <v>5795</v>
      </c>
    </row>
    <row r="153" spans="1:21">
      <c r="A153" s="5">
        <f t="shared" si="18"/>
        <v>46174</v>
      </c>
      <c r="B153">
        <f>SUMIFS('Demand Projection'!$D$2:$D$169,'Demand Projection'!$B$2:$B$169,B$1,'Demand Projection'!$C$2:$C$169,$A153)</f>
        <v>0</v>
      </c>
      <c r="C153">
        <f>SUMIFS('Demand Projection'!$D$2:$D$169,'Demand Projection'!$B$2:$B$169,C$1,'Demand Projection'!$C$2:$C$169,$A153)</f>
        <v>0</v>
      </c>
      <c r="D153">
        <f>SUMIFS('Demand Projection'!$D$2:$D$169,'Demand Projection'!$B$2:$B$169,D$1,'Demand Projection'!$C$2:$C$169,$A153)</f>
        <v>0</v>
      </c>
      <c r="E153">
        <f>SUMIFS('Demand Projection'!$D$2:$D$169,'Demand Projection'!$B$2:$B$169,E$1,'Demand Projection'!$C$2:$C$169,$A153)</f>
        <v>0</v>
      </c>
      <c r="F153">
        <f>SUMIFS('Demand Projection'!$D$2:$D$169,'Demand Projection'!$B$2:$B$169,F$1,'Demand Projection'!$C$2:$C$169,$A153)</f>
        <v>0</v>
      </c>
      <c r="G153" cm="1">
        <f t="array" ref="G153">Q152+IF(ROW()-3&lt;2,0,INDEX(L:L,ROW()-3))</f>
        <v>6798</v>
      </c>
      <c r="H153" cm="1">
        <f t="array" ref="H153">R152+IF(ROW()-3&lt;2,0,INDEX(M:M,ROW()-3))</f>
        <v>8509</v>
      </c>
      <c r="I153" cm="1">
        <f t="array" ref="I153">S152+IF(ROW()-3&lt;2,0,INDEX(N:N,ROW()-3))</f>
        <v>3116</v>
      </c>
      <c r="J153" cm="1">
        <f t="array" ref="J153">T152+IF(ROW()-3&lt;2,0,INDEX(O:O,ROW()-3))</f>
        <v>10073</v>
      </c>
      <c r="K153" cm="1">
        <f t="array" ref="K153">U152+IF(ROW()-3&lt;2,0,INDEX(P:P,ROW()-3))</f>
        <v>5795</v>
      </c>
      <c r="L153">
        <f>IF(Q153&lt;_xlfn.XLOOKUP(L$1,Capacity!$D$3:$D$7,Capacity!$E$3:$E$7),_xlfn.XLOOKUP(L$1,Capacity!$D$3:$D$7,Capacity!$F$3:$F$7)-Q153,0)</f>
        <v>0</v>
      </c>
      <c r="M153">
        <f>IF(R153&lt;_xlfn.XLOOKUP(M$1,Capacity!$D$3:$D$7,Capacity!$E$3:$E$7),_xlfn.XLOOKUP(M$1,Capacity!$D$3:$D$7,Capacity!$F$3:$F$7)-R153,0)</f>
        <v>0</v>
      </c>
      <c r="N153">
        <f>IF(S153&lt;_xlfn.XLOOKUP(N$1,Capacity!$D$3:$D$7,Capacity!$E$3:$E$7),_xlfn.XLOOKUP(N$1,Capacity!$D$3:$D$7,Capacity!$F$3:$F$7)-S153,0)</f>
        <v>0</v>
      </c>
      <c r="O153">
        <f>IF(T153&lt;_xlfn.XLOOKUP(O$1,Capacity!$D$3:$D$7,Capacity!$E$3:$E$7),_xlfn.XLOOKUP(O$1,Capacity!$D$3:$D$7,Capacity!$F$3:$F$7)-T153,0)</f>
        <v>0</v>
      </c>
      <c r="P153">
        <f>IF(U153&lt;_xlfn.XLOOKUP(P$1,Capacity!$D$3:$D$7,Capacity!$E$3:$E$7),_xlfn.XLOOKUP(P$1,Capacity!$D$3:$D$7,Capacity!$F$3:$F$7)-U153,0)</f>
        <v>0</v>
      </c>
      <c r="Q153">
        <f t="shared" si="13"/>
        <v>6798</v>
      </c>
      <c r="R153">
        <f t="shared" si="14"/>
        <v>8509</v>
      </c>
      <c r="S153">
        <f t="shared" si="15"/>
        <v>3116</v>
      </c>
      <c r="T153">
        <f t="shared" si="16"/>
        <v>10073</v>
      </c>
      <c r="U153">
        <f t="shared" si="17"/>
        <v>5795</v>
      </c>
    </row>
    <row r="154" spans="1:21">
      <c r="A154" s="5">
        <f t="shared" si="18"/>
        <v>46175</v>
      </c>
      <c r="B154">
        <f>SUMIFS('Demand Projection'!$D$2:$D$169,'Demand Projection'!$B$2:$B$169,B$1,'Demand Projection'!$C$2:$C$169,$A154)</f>
        <v>0</v>
      </c>
      <c r="C154">
        <f>SUMIFS('Demand Projection'!$D$2:$D$169,'Demand Projection'!$B$2:$B$169,C$1,'Demand Projection'!$C$2:$C$169,$A154)</f>
        <v>0</v>
      </c>
      <c r="D154">
        <f>SUMIFS('Demand Projection'!$D$2:$D$169,'Demand Projection'!$B$2:$B$169,D$1,'Demand Projection'!$C$2:$C$169,$A154)</f>
        <v>0</v>
      </c>
      <c r="E154">
        <f>SUMIFS('Demand Projection'!$D$2:$D$169,'Demand Projection'!$B$2:$B$169,E$1,'Demand Projection'!$C$2:$C$169,$A154)</f>
        <v>0</v>
      </c>
      <c r="F154">
        <f>SUMIFS('Demand Projection'!$D$2:$D$169,'Demand Projection'!$B$2:$B$169,F$1,'Demand Projection'!$C$2:$C$169,$A154)</f>
        <v>0</v>
      </c>
      <c r="G154" cm="1">
        <f t="array" ref="G154">Q153+IF(ROW()-3&lt;2,0,INDEX(L:L,ROW()-3))</f>
        <v>6798</v>
      </c>
      <c r="H154" cm="1">
        <f t="array" ref="H154">R153+IF(ROW()-3&lt;2,0,INDEX(M:M,ROW()-3))</f>
        <v>8509</v>
      </c>
      <c r="I154" cm="1">
        <f t="array" ref="I154">S153+IF(ROW()-3&lt;2,0,INDEX(N:N,ROW()-3))</f>
        <v>3116</v>
      </c>
      <c r="J154" cm="1">
        <f t="array" ref="J154">T153+IF(ROW()-3&lt;2,0,INDEX(O:O,ROW()-3))</f>
        <v>10073</v>
      </c>
      <c r="K154" cm="1">
        <f t="array" ref="K154">U153+IF(ROW()-3&lt;2,0,INDEX(P:P,ROW()-3))</f>
        <v>5795</v>
      </c>
      <c r="L154">
        <f>IF(Q154&lt;_xlfn.XLOOKUP(L$1,Capacity!$D$3:$D$7,Capacity!$E$3:$E$7),_xlfn.XLOOKUP(L$1,Capacity!$D$3:$D$7,Capacity!$F$3:$F$7)-Q154,0)</f>
        <v>0</v>
      </c>
      <c r="M154">
        <f>IF(R154&lt;_xlfn.XLOOKUP(M$1,Capacity!$D$3:$D$7,Capacity!$E$3:$E$7),_xlfn.XLOOKUP(M$1,Capacity!$D$3:$D$7,Capacity!$F$3:$F$7)-R154,0)</f>
        <v>0</v>
      </c>
      <c r="N154">
        <f>IF(S154&lt;_xlfn.XLOOKUP(N$1,Capacity!$D$3:$D$7,Capacity!$E$3:$E$7),_xlfn.XLOOKUP(N$1,Capacity!$D$3:$D$7,Capacity!$F$3:$F$7)-S154,0)</f>
        <v>0</v>
      </c>
      <c r="O154">
        <f>IF(T154&lt;_xlfn.XLOOKUP(O$1,Capacity!$D$3:$D$7,Capacity!$E$3:$E$7),_xlfn.XLOOKUP(O$1,Capacity!$D$3:$D$7,Capacity!$F$3:$F$7)-T154,0)</f>
        <v>0</v>
      </c>
      <c r="P154">
        <f>IF(U154&lt;_xlfn.XLOOKUP(P$1,Capacity!$D$3:$D$7,Capacity!$E$3:$E$7),_xlfn.XLOOKUP(P$1,Capacity!$D$3:$D$7,Capacity!$F$3:$F$7)-U154,0)</f>
        <v>0</v>
      </c>
      <c r="Q154">
        <f t="shared" si="13"/>
        <v>6798</v>
      </c>
      <c r="R154">
        <f t="shared" si="14"/>
        <v>8509</v>
      </c>
      <c r="S154">
        <f t="shared" si="15"/>
        <v>3116</v>
      </c>
      <c r="T154">
        <f t="shared" si="16"/>
        <v>10073</v>
      </c>
      <c r="U154">
        <f t="shared" si="17"/>
        <v>5795</v>
      </c>
    </row>
    <row r="155" spans="1:21">
      <c r="A155" s="5">
        <f t="shared" si="18"/>
        <v>46176</v>
      </c>
      <c r="B155">
        <f>SUMIFS('Demand Projection'!$D$2:$D$169,'Demand Projection'!$B$2:$B$169,B$1,'Demand Projection'!$C$2:$C$169,$A155)</f>
        <v>953</v>
      </c>
      <c r="C155">
        <f>SUMIFS('Demand Projection'!$D$2:$D$169,'Demand Projection'!$B$2:$B$169,C$1,'Demand Projection'!$C$2:$C$169,$A155)</f>
        <v>5713</v>
      </c>
      <c r="D155">
        <f>SUMIFS('Demand Projection'!$D$2:$D$169,'Demand Projection'!$B$2:$B$169,D$1,'Demand Projection'!$C$2:$C$169,$A155)</f>
        <v>0</v>
      </c>
      <c r="E155">
        <f>SUMIFS('Demand Projection'!$D$2:$D$169,'Demand Projection'!$B$2:$B$169,E$1,'Demand Projection'!$C$2:$C$169,$A155)</f>
        <v>0</v>
      </c>
      <c r="F155">
        <f>SUMIFS('Demand Projection'!$D$2:$D$169,'Demand Projection'!$B$2:$B$169,F$1,'Demand Projection'!$C$2:$C$169,$A155)</f>
        <v>0</v>
      </c>
      <c r="G155" cm="1">
        <f t="array" ref="G155">Q154+IF(ROW()-3&lt;2,0,INDEX(L:L,ROW()-3))</f>
        <v>6798</v>
      </c>
      <c r="H155" cm="1">
        <f t="array" ref="H155">R154+IF(ROW()-3&lt;2,0,INDEX(M:M,ROW()-3))</f>
        <v>8509</v>
      </c>
      <c r="I155" cm="1">
        <f t="array" ref="I155">S154+IF(ROW()-3&lt;2,0,INDEX(N:N,ROW()-3))</f>
        <v>3116</v>
      </c>
      <c r="J155" cm="1">
        <f t="array" ref="J155">T154+IF(ROW()-3&lt;2,0,INDEX(O:O,ROW()-3))</f>
        <v>10073</v>
      </c>
      <c r="K155" cm="1">
        <f t="array" ref="K155">U154+IF(ROW()-3&lt;2,0,INDEX(P:P,ROW()-3))</f>
        <v>5795</v>
      </c>
      <c r="L155">
        <f>IF(Q155&lt;_xlfn.XLOOKUP(L$1,Capacity!$D$3:$D$7,Capacity!$E$3:$E$7),_xlfn.XLOOKUP(L$1,Capacity!$D$3:$D$7,Capacity!$F$3:$F$7)-Q155,0)</f>
        <v>0</v>
      </c>
      <c r="M155">
        <f>IF(R155&lt;_xlfn.XLOOKUP(M$1,Capacity!$D$3:$D$7,Capacity!$E$3:$E$7),_xlfn.XLOOKUP(M$1,Capacity!$D$3:$D$7,Capacity!$F$3:$F$7)-R155,0)</f>
        <v>0</v>
      </c>
      <c r="N155">
        <f>IF(S155&lt;_xlfn.XLOOKUP(N$1,Capacity!$D$3:$D$7,Capacity!$E$3:$E$7),_xlfn.XLOOKUP(N$1,Capacity!$D$3:$D$7,Capacity!$F$3:$F$7)-S155,0)</f>
        <v>0</v>
      </c>
      <c r="O155">
        <f>IF(T155&lt;_xlfn.XLOOKUP(O$1,Capacity!$D$3:$D$7,Capacity!$E$3:$E$7),_xlfn.XLOOKUP(O$1,Capacity!$D$3:$D$7,Capacity!$F$3:$F$7)-T155,0)</f>
        <v>0</v>
      </c>
      <c r="P155">
        <f>IF(U155&lt;_xlfn.XLOOKUP(P$1,Capacity!$D$3:$D$7,Capacity!$E$3:$E$7),_xlfn.XLOOKUP(P$1,Capacity!$D$3:$D$7,Capacity!$F$3:$F$7)-U155,0)</f>
        <v>0</v>
      </c>
      <c r="Q155">
        <f t="shared" si="13"/>
        <v>5845</v>
      </c>
      <c r="R155">
        <f t="shared" si="14"/>
        <v>2796</v>
      </c>
      <c r="S155">
        <f t="shared" si="15"/>
        <v>3116</v>
      </c>
      <c r="T155">
        <f t="shared" si="16"/>
        <v>10073</v>
      </c>
      <c r="U155">
        <f t="shared" si="17"/>
        <v>5795</v>
      </c>
    </row>
    <row r="156" spans="1:21">
      <c r="A156" s="5">
        <f t="shared" si="18"/>
        <v>46177</v>
      </c>
      <c r="B156">
        <f>SUMIFS('Demand Projection'!$D$2:$D$169,'Demand Projection'!$B$2:$B$169,B$1,'Demand Projection'!$C$2:$C$169,$A156)</f>
        <v>382</v>
      </c>
      <c r="C156">
        <f>SUMIFS('Demand Projection'!$D$2:$D$169,'Demand Projection'!$B$2:$B$169,C$1,'Demand Projection'!$C$2:$C$169,$A156)</f>
        <v>0</v>
      </c>
      <c r="D156">
        <f>SUMIFS('Demand Projection'!$D$2:$D$169,'Demand Projection'!$B$2:$B$169,D$1,'Demand Projection'!$C$2:$C$169,$A156)</f>
        <v>0</v>
      </c>
      <c r="E156">
        <f>SUMIFS('Demand Projection'!$D$2:$D$169,'Demand Projection'!$B$2:$B$169,E$1,'Demand Projection'!$C$2:$C$169,$A156)</f>
        <v>0</v>
      </c>
      <c r="F156">
        <f>SUMIFS('Demand Projection'!$D$2:$D$169,'Demand Projection'!$B$2:$B$169,F$1,'Demand Projection'!$C$2:$C$169,$A156)</f>
        <v>0</v>
      </c>
      <c r="G156" cm="1">
        <f t="array" ref="G156">Q155+IF(ROW()-3&lt;2,0,INDEX(L:L,ROW()-3))</f>
        <v>5845</v>
      </c>
      <c r="H156" cm="1">
        <f t="array" ref="H156">R155+IF(ROW()-3&lt;2,0,INDEX(M:M,ROW()-3))</f>
        <v>2796</v>
      </c>
      <c r="I156" cm="1">
        <f t="array" ref="I156">S155+IF(ROW()-3&lt;2,0,INDEX(N:N,ROW()-3))</f>
        <v>3116</v>
      </c>
      <c r="J156" cm="1">
        <f t="array" ref="J156">T155+IF(ROW()-3&lt;2,0,INDEX(O:O,ROW()-3))</f>
        <v>10073</v>
      </c>
      <c r="K156" cm="1">
        <f t="array" ref="K156">U155+IF(ROW()-3&lt;2,0,INDEX(P:P,ROW()-3))</f>
        <v>5795</v>
      </c>
      <c r="L156">
        <f>IF(Q156&lt;_xlfn.XLOOKUP(L$1,Capacity!$D$3:$D$7,Capacity!$E$3:$E$7),_xlfn.XLOOKUP(L$1,Capacity!$D$3:$D$7,Capacity!$F$3:$F$7)-Q156,0)</f>
        <v>0</v>
      </c>
      <c r="M156">
        <f>IF(R156&lt;_xlfn.XLOOKUP(M$1,Capacity!$D$3:$D$7,Capacity!$E$3:$E$7),_xlfn.XLOOKUP(M$1,Capacity!$D$3:$D$7,Capacity!$F$3:$F$7)-R156,0)</f>
        <v>0</v>
      </c>
      <c r="N156">
        <f>IF(S156&lt;_xlfn.XLOOKUP(N$1,Capacity!$D$3:$D$7,Capacity!$E$3:$E$7),_xlfn.XLOOKUP(N$1,Capacity!$D$3:$D$7,Capacity!$F$3:$F$7)-S156,0)</f>
        <v>0</v>
      </c>
      <c r="O156">
        <f>IF(T156&lt;_xlfn.XLOOKUP(O$1,Capacity!$D$3:$D$7,Capacity!$E$3:$E$7),_xlfn.XLOOKUP(O$1,Capacity!$D$3:$D$7,Capacity!$F$3:$F$7)-T156,0)</f>
        <v>0</v>
      </c>
      <c r="P156">
        <f>IF(U156&lt;_xlfn.XLOOKUP(P$1,Capacity!$D$3:$D$7,Capacity!$E$3:$E$7),_xlfn.XLOOKUP(P$1,Capacity!$D$3:$D$7,Capacity!$F$3:$F$7)-U156,0)</f>
        <v>0</v>
      </c>
      <c r="Q156">
        <f t="shared" si="13"/>
        <v>5463</v>
      </c>
      <c r="R156">
        <f t="shared" si="14"/>
        <v>2796</v>
      </c>
      <c r="S156">
        <f t="shared" si="15"/>
        <v>3116</v>
      </c>
      <c r="T156">
        <f t="shared" si="16"/>
        <v>10073</v>
      </c>
      <c r="U156">
        <f t="shared" si="17"/>
        <v>5795</v>
      </c>
    </row>
    <row r="157" spans="1:21">
      <c r="A157" s="5">
        <f t="shared" si="18"/>
        <v>46178</v>
      </c>
      <c r="B157">
        <f>SUMIFS('Demand Projection'!$D$2:$D$169,'Demand Projection'!$B$2:$B$169,B$1,'Demand Projection'!$C$2:$C$169,$A157)</f>
        <v>0</v>
      </c>
      <c r="C157">
        <f>SUMIFS('Demand Projection'!$D$2:$D$169,'Demand Projection'!$B$2:$B$169,C$1,'Demand Projection'!$C$2:$C$169,$A157)</f>
        <v>0</v>
      </c>
      <c r="D157">
        <f>SUMIFS('Demand Projection'!$D$2:$D$169,'Demand Projection'!$B$2:$B$169,D$1,'Demand Projection'!$C$2:$C$169,$A157)</f>
        <v>859</v>
      </c>
      <c r="E157">
        <f>SUMIFS('Demand Projection'!$D$2:$D$169,'Demand Projection'!$B$2:$B$169,E$1,'Demand Projection'!$C$2:$C$169,$A157)</f>
        <v>0</v>
      </c>
      <c r="F157">
        <f>SUMIFS('Demand Projection'!$D$2:$D$169,'Demand Projection'!$B$2:$B$169,F$1,'Demand Projection'!$C$2:$C$169,$A157)</f>
        <v>0</v>
      </c>
      <c r="G157" cm="1">
        <f t="array" ref="G157">Q156+IF(ROW()-3&lt;2,0,INDEX(L:L,ROW()-3))</f>
        <v>5463</v>
      </c>
      <c r="H157" cm="1">
        <f t="array" ref="H157">R156+IF(ROW()-3&lt;2,0,INDEX(M:M,ROW()-3))</f>
        <v>2796</v>
      </c>
      <c r="I157" cm="1">
        <f t="array" ref="I157">S156+IF(ROW()-3&lt;2,0,INDEX(N:N,ROW()-3))</f>
        <v>3116</v>
      </c>
      <c r="J157" cm="1">
        <f t="array" ref="J157">T156+IF(ROW()-3&lt;2,0,INDEX(O:O,ROW()-3))</f>
        <v>10073</v>
      </c>
      <c r="K157" cm="1">
        <f t="array" ref="K157">U156+IF(ROW()-3&lt;2,0,INDEX(P:P,ROW()-3))</f>
        <v>5795</v>
      </c>
      <c r="L157">
        <f>IF(Q157&lt;_xlfn.XLOOKUP(L$1,Capacity!$D$3:$D$7,Capacity!$E$3:$E$7),_xlfn.XLOOKUP(L$1,Capacity!$D$3:$D$7,Capacity!$F$3:$F$7)-Q157,0)</f>
        <v>0</v>
      </c>
      <c r="M157">
        <f>IF(R157&lt;_xlfn.XLOOKUP(M$1,Capacity!$D$3:$D$7,Capacity!$E$3:$E$7),_xlfn.XLOOKUP(M$1,Capacity!$D$3:$D$7,Capacity!$F$3:$F$7)-R157,0)</f>
        <v>0</v>
      </c>
      <c r="N157">
        <f>IF(S157&lt;_xlfn.XLOOKUP(N$1,Capacity!$D$3:$D$7,Capacity!$E$3:$E$7),_xlfn.XLOOKUP(N$1,Capacity!$D$3:$D$7,Capacity!$F$3:$F$7)-S157,0)</f>
        <v>0</v>
      </c>
      <c r="O157">
        <f>IF(T157&lt;_xlfn.XLOOKUP(O$1,Capacity!$D$3:$D$7,Capacity!$E$3:$E$7),_xlfn.XLOOKUP(O$1,Capacity!$D$3:$D$7,Capacity!$F$3:$F$7)-T157,0)</f>
        <v>0</v>
      </c>
      <c r="P157">
        <f>IF(U157&lt;_xlfn.XLOOKUP(P$1,Capacity!$D$3:$D$7,Capacity!$E$3:$E$7),_xlfn.XLOOKUP(P$1,Capacity!$D$3:$D$7,Capacity!$F$3:$F$7)-U157,0)</f>
        <v>0</v>
      </c>
      <c r="Q157">
        <f t="shared" si="13"/>
        <v>5463</v>
      </c>
      <c r="R157">
        <f t="shared" si="14"/>
        <v>2796</v>
      </c>
      <c r="S157">
        <f t="shared" si="15"/>
        <v>2257</v>
      </c>
      <c r="T157">
        <f t="shared" si="16"/>
        <v>10073</v>
      </c>
      <c r="U157">
        <f t="shared" si="17"/>
        <v>5795</v>
      </c>
    </row>
    <row r="158" spans="1:21">
      <c r="A158" s="5">
        <f t="shared" si="18"/>
        <v>46179</v>
      </c>
      <c r="B158">
        <f>SUMIFS('Demand Projection'!$D$2:$D$169,'Demand Projection'!$B$2:$B$169,B$1,'Demand Projection'!$C$2:$C$169,$A158)</f>
        <v>0</v>
      </c>
      <c r="C158">
        <f>SUMIFS('Demand Projection'!$D$2:$D$169,'Demand Projection'!$B$2:$B$169,C$1,'Demand Projection'!$C$2:$C$169,$A158)</f>
        <v>0</v>
      </c>
      <c r="D158">
        <f>SUMIFS('Demand Projection'!$D$2:$D$169,'Demand Projection'!$B$2:$B$169,D$1,'Demand Projection'!$C$2:$C$169,$A158)</f>
        <v>0</v>
      </c>
      <c r="E158">
        <f>SUMIFS('Demand Projection'!$D$2:$D$169,'Demand Projection'!$B$2:$B$169,E$1,'Demand Projection'!$C$2:$C$169,$A158)</f>
        <v>573</v>
      </c>
      <c r="F158">
        <f>SUMIFS('Demand Projection'!$D$2:$D$169,'Demand Projection'!$B$2:$B$169,F$1,'Demand Projection'!$C$2:$C$169,$A158)</f>
        <v>0</v>
      </c>
      <c r="G158" cm="1">
        <f t="array" ref="G158">Q157+IF(ROW()-3&lt;2,0,INDEX(L:L,ROW()-3))</f>
        <v>5463</v>
      </c>
      <c r="H158" cm="1">
        <f t="array" ref="H158">R157+IF(ROW()-3&lt;2,0,INDEX(M:M,ROW()-3))</f>
        <v>2796</v>
      </c>
      <c r="I158" cm="1">
        <f t="array" ref="I158">S157+IF(ROW()-3&lt;2,0,INDEX(N:N,ROW()-3))</f>
        <v>2257</v>
      </c>
      <c r="J158" cm="1">
        <f t="array" ref="J158">T157+IF(ROW()-3&lt;2,0,INDEX(O:O,ROW()-3))</f>
        <v>10073</v>
      </c>
      <c r="K158" cm="1">
        <f t="array" ref="K158">U157+IF(ROW()-3&lt;2,0,INDEX(P:P,ROW()-3))</f>
        <v>5795</v>
      </c>
      <c r="L158">
        <f>IF(Q158&lt;_xlfn.XLOOKUP(L$1,Capacity!$D$3:$D$7,Capacity!$E$3:$E$7),_xlfn.XLOOKUP(L$1,Capacity!$D$3:$D$7,Capacity!$F$3:$F$7)-Q158,0)</f>
        <v>0</v>
      </c>
      <c r="M158">
        <f>IF(R158&lt;_xlfn.XLOOKUP(M$1,Capacity!$D$3:$D$7,Capacity!$E$3:$E$7),_xlfn.XLOOKUP(M$1,Capacity!$D$3:$D$7,Capacity!$F$3:$F$7)-R158,0)</f>
        <v>0</v>
      </c>
      <c r="N158">
        <f>IF(S158&lt;_xlfn.XLOOKUP(N$1,Capacity!$D$3:$D$7,Capacity!$E$3:$E$7),_xlfn.XLOOKUP(N$1,Capacity!$D$3:$D$7,Capacity!$F$3:$F$7)-S158,0)</f>
        <v>0</v>
      </c>
      <c r="O158">
        <f>IF(T158&lt;_xlfn.XLOOKUP(O$1,Capacity!$D$3:$D$7,Capacity!$E$3:$E$7),_xlfn.XLOOKUP(O$1,Capacity!$D$3:$D$7,Capacity!$F$3:$F$7)-T158,0)</f>
        <v>0</v>
      </c>
      <c r="P158">
        <f>IF(U158&lt;_xlfn.XLOOKUP(P$1,Capacity!$D$3:$D$7,Capacity!$E$3:$E$7),_xlfn.XLOOKUP(P$1,Capacity!$D$3:$D$7,Capacity!$F$3:$F$7)-U158,0)</f>
        <v>0</v>
      </c>
      <c r="Q158">
        <f t="shared" si="13"/>
        <v>5463</v>
      </c>
      <c r="R158">
        <f t="shared" si="14"/>
        <v>2796</v>
      </c>
      <c r="S158">
        <f t="shared" si="15"/>
        <v>2257</v>
      </c>
      <c r="T158">
        <f t="shared" si="16"/>
        <v>9500</v>
      </c>
      <c r="U158">
        <f t="shared" si="17"/>
        <v>5795</v>
      </c>
    </row>
    <row r="159" spans="1:21">
      <c r="A159" s="5">
        <f t="shared" si="18"/>
        <v>46180</v>
      </c>
      <c r="B159">
        <f>SUMIFS('Demand Projection'!$D$2:$D$169,'Demand Projection'!$B$2:$B$169,B$1,'Demand Projection'!$C$2:$C$169,$A159)</f>
        <v>953</v>
      </c>
      <c r="C159">
        <f>SUMIFS('Demand Projection'!$D$2:$D$169,'Demand Projection'!$B$2:$B$169,C$1,'Demand Projection'!$C$2:$C$169,$A159)</f>
        <v>0</v>
      </c>
      <c r="D159">
        <f>SUMIFS('Demand Projection'!$D$2:$D$169,'Demand Projection'!$B$2:$B$169,D$1,'Demand Projection'!$C$2:$C$169,$A159)</f>
        <v>0</v>
      </c>
      <c r="E159">
        <f>SUMIFS('Demand Projection'!$D$2:$D$169,'Demand Projection'!$B$2:$B$169,E$1,'Demand Projection'!$C$2:$C$169,$A159)</f>
        <v>0</v>
      </c>
      <c r="F159">
        <f>SUMIFS('Demand Projection'!$D$2:$D$169,'Demand Projection'!$B$2:$B$169,F$1,'Demand Projection'!$C$2:$C$169,$A159)</f>
        <v>0</v>
      </c>
      <c r="G159" cm="1">
        <f t="array" ref="G159">Q158+IF(ROW()-3&lt;2,0,INDEX(L:L,ROW()-3))</f>
        <v>5463</v>
      </c>
      <c r="H159" cm="1">
        <f t="array" ref="H159">R158+IF(ROW()-3&lt;2,0,INDEX(M:M,ROW()-3))</f>
        <v>2796</v>
      </c>
      <c r="I159" cm="1">
        <f t="array" ref="I159">S158+IF(ROW()-3&lt;2,0,INDEX(N:N,ROW()-3))</f>
        <v>2257</v>
      </c>
      <c r="J159" cm="1">
        <f t="array" ref="J159">T158+IF(ROW()-3&lt;2,0,INDEX(O:O,ROW()-3))</f>
        <v>9500</v>
      </c>
      <c r="K159" cm="1">
        <f t="array" ref="K159">U158+IF(ROW()-3&lt;2,0,INDEX(P:P,ROW()-3))</f>
        <v>5795</v>
      </c>
      <c r="L159">
        <f>IF(Q159&lt;_xlfn.XLOOKUP(L$1,Capacity!$D$3:$D$7,Capacity!$E$3:$E$7),_xlfn.XLOOKUP(L$1,Capacity!$D$3:$D$7,Capacity!$F$3:$F$7)-Q159,0)</f>
        <v>0</v>
      </c>
      <c r="M159">
        <f>IF(R159&lt;_xlfn.XLOOKUP(M$1,Capacity!$D$3:$D$7,Capacity!$E$3:$E$7),_xlfn.XLOOKUP(M$1,Capacity!$D$3:$D$7,Capacity!$F$3:$F$7)-R159,0)</f>
        <v>0</v>
      </c>
      <c r="N159">
        <f>IF(S159&lt;_xlfn.XLOOKUP(N$1,Capacity!$D$3:$D$7,Capacity!$E$3:$E$7),_xlfn.XLOOKUP(N$1,Capacity!$D$3:$D$7,Capacity!$F$3:$F$7)-S159,0)</f>
        <v>0</v>
      </c>
      <c r="O159">
        <f>IF(T159&lt;_xlfn.XLOOKUP(O$1,Capacity!$D$3:$D$7,Capacity!$E$3:$E$7),_xlfn.XLOOKUP(O$1,Capacity!$D$3:$D$7,Capacity!$F$3:$F$7)-T159,0)</f>
        <v>0</v>
      </c>
      <c r="P159">
        <f>IF(U159&lt;_xlfn.XLOOKUP(P$1,Capacity!$D$3:$D$7,Capacity!$E$3:$E$7),_xlfn.XLOOKUP(P$1,Capacity!$D$3:$D$7,Capacity!$F$3:$F$7)-U159,0)</f>
        <v>0</v>
      </c>
      <c r="Q159">
        <f t="shared" si="13"/>
        <v>4510</v>
      </c>
      <c r="R159">
        <f t="shared" si="14"/>
        <v>2796</v>
      </c>
      <c r="S159">
        <f t="shared" si="15"/>
        <v>2257</v>
      </c>
      <c r="T159">
        <f t="shared" si="16"/>
        <v>9500</v>
      </c>
      <c r="U159">
        <f t="shared" si="17"/>
        <v>5795</v>
      </c>
    </row>
    <row r="160" spans="1:21">
      <c r="A160" s="5">
        <f t="shared" si="18"/>
        <v>46181</v>
      </c>
      <c r="B160">
        <f>SUMIFS('Demand Projection'!$D$2:$D$169,'Demand Projection'!$B$2:$B$169,B$1,'Demand Projection'!$C$2:$C$169,$A160)</f>
        <v>0</v>
      </c>
      <c r="C160">
        <f>SUMIFS('Demand Projection'!$D$2:$D$169,'Demand Projection'!$B$2:$B$169,C$1,'Demand Projection'!$C$2:$C$169,$A160)</f>
        <v>0</v>
      </c>
      <c r="D160">
        <f>SUMIFS('Demand Projection'!$D$2:$D$169,'Demand Projection'!$B$2:$B$169,D$1,'Demand Projection'!$C$2:$C$169,$A160)</f>
        <v>0</v>
      </c>
      <c r="E160">
        <f>SUMIFS('Demand Projection'!$D$2:$D$169,'Demand Projection'!$B$2:$B$169,E$1,'Demand Projection'!$C$2:$C$169,$A160)</f>
        <v>0</v>
      </c>
      <c r="F160">
        <f>SUMIFS('Demand Projection'!$D$2:$D$169,'Demand Projection'!$B$2:$B$169,F$1,'Demand Projection'!$C$2:$C$169,$A160)</f>
        <v>0</v>
      </c>
      <c r="G160" cm="1">
        <f t="array" ref="G160">Q159+IF(ROW()-3&lt;2,0,INDEX(L:L,ROW()-3))</f>
        <v>4510</v>
      </c>
      <c r="H160" cm="1">
        <f t="array" ref="H160">R159+IF(ROW()-3&lt;2,0,INDEX(M:M,ROW()-3))</f>
        <v>2796</v>
      </c>
      <c r="I160" cm="1">
        <f t="array" ref="I160">S159+IF(ROW()-3&lt;2,0,INDEX(N:N,ROW()-3))</f>
        <v>2257</v>
      </c>
      <c r="J160" cm="1">
        <f t="array" ref="J160">T159+IF(ROW()-3&lt;2,0,INDEX(O:O,ROW()-3))</f>
        <v>9500</v>
      </c>
      <c r="K160" cm="1">
        <f t="array" ref="K160">U159+IF(ROW()-3&lt;2,0,INDEX(P:P,ROW()-3))</f>
        <v>5795</v>
      </c>
      <c r="L160">
        <f>IF(Q160&lt;_xlfn.XLOOKUP(L$1,Capacity!$D$3:$D$7,Capacity!$E$3:$E$7),_xlfn.XLOOKUP(L$1,Capacity!$D$3:$D$7,Capacity!$F$3:$F$7)-Q160,0)</f>
        <v>0</v>
      </c>
      <c r="M160">
        <f>IF(R160&lt;_xlfn.XLOOKUP(M$1,Capacity!$D$3:$D$7,Capacity!$E$3:$E$7),_xlfn.XLOOKUP(M$1,Capacity!$D$3:$D$7,Capacity!$F$3:$F$7)-R160,0)</f>
        <v>0</v>
      </c>
      <c r="N160">
        <f>IF(S160&lt;_xlfn.XLOOKUP(N$1,Capacity!$D$3:$D$7,Capacity!$E$3:$E$7),_xlfn.XLOOKUP(N$1,Capacity!$D$3:$D$7,Capacity!$F$3:$F$7)-S160,0)</f>
        <v>0</v>
      </c>
      <c r="O160">
        <f>IF(T160&lt;_xlfn.XLOOKUP(O$1,Capacity!$D$3:$D$7,Capacity!$E$3:$E$7),_xlfn.XLOOKUP(O$1,Capacity!$D$3:$D$7,Capacity!$F$3:$F$7)-T160,0)</f>
        <v>0</v>
      </c>
      <c r="P160">
        <f>IF(U160&lt;_xlfn.XLOOKUP(P$1,Capacity!$D$3:$D$7,Capacity!$E$3:$E$7),_xlfn.XLOOKUP(P$1,Capacity!$D$3:$D$7,Capacity!$F$3:$F$7)-U160,0)</f>
        <v>0</v>
      </c>
      <c r="Q160">
        <f t="shared" si="13"/>
        <v>4510</v>
      </c>
      <c r="R160">
        <f t="shared" si="14"/>
        <v>2796</v>
      </c>
      <c r="S160">
        <f t="shared" si="15"/>
        <v>2257</v>
      </c>
      <c r="T160">
        <f t="shared" si="16"/>
        <v>9500</v>
      </c>
      <c r="U160">
        <f t="shared" si="17"/>
        <v>5795</v>
      </c>
    </row>
    <row r="161" spans="1:21">
      <c r="A161" s="5">
        <f t="shared" si="18"/>
        <v>46182</v>
      </c>
      <c r="B161">
        <f>SUMIFS('Demand Projection'!$D$2:$D$169,'Demand Projection'!$B$2:$B$169,B$1,'Demand Projection'!$C$2:$C$169,$A161)</f>
        <v>0</v>
      </c>
      <c r="C161">
        <f>SUMIFS('Demand Projection'!$D$2:$D$169,'Demand Projection'!$B$2:$B$169,C$1,'Demand Projection'!$C$2:$C$169,$A161)</f>
        <v>0</v>
      </c>
      <c r="D161">
        <f>SUMIFS('Demand Projection'!$D$2:$D$169,'Demand Projection'!$B$2:$B$169,D$1,'Demand Projection'!$C$2:$C$169,$A161)</f>
        <v>477</v>
      </c>
      <c r="E161">
        <f>SUMIFS('Demand Projection'!$D$2:$D$169,'Demand Projection'!$B$2:$B$169,E$1,'Demand Projection'!$C$2:$C$169,$A161)</f>
        <v>0</v>
      </c>
      <c r="F161">
        <f>SUMIFS('Demand Projection'!$D$2:$D$169,'Demand Projection'!$B$2:$B$169,F$1,'Demand Projection'!$C$2:$C$169,$A161)</f>
        <v>0</v>
      </c>
      <c r="G161" cm="1">
        <f t="array" ref="G161">Q160+IF(ROW()-3&lt;2,0,INDEX(L:L,ROW()-3))</f>
        <v>4510</v>
      </c>
      <c r="H161" cm="1">
        <f t="array" ref="H161">R160+IF(ROW()-3&lt;2,0,INDEX(M:M,ROW()-3))</f>
        <v>2796</v>
      </c>
      <c r="I161" cm="1">
        <f t="array" ref="I161">S160+IF(ROW()-3&lt;2,0,INDEX(N:N,ROW()-3))</f>
        <v>2257</v>
      </c>
      <c r="J161" cm="1">
        <f t="array" ref="J161">T160+IF(ROW()-3&lt;2,0,INDEX(O:O,ROW()-3))</f>
        <v>9500</v>
      </c>
      <c r="K161" cm="1">
        <f t="array" ref="K161">U160+IF(ROW()-3&lt;2,0,INDEX(P:P,ROW()-3))</f>
        <v>5795</v>
      </c>
      <c r="L161">
        <f>IF(Q161&lt;_xlfn.XLOOKUP(L$1,Capacity!$D$3:$D$7,Capacity!$E$3:$E$7),_xlfn.XLOOKUP(L$1,Capacity!$D$3:$D$7,Capacity!$F$3:$F$7)-Q161,0)</f>
        <v>0</v>
      </c>
      <c r="M161">
        <f>IF(R161&lt;_xlfn.XLOOKUP(M$1,Capacity!$D$3:$D$7,Capacity!$E$3:$E$7),_xlfn.XLOOKUP(M$1,Capacity!$D$3:$D$7,Capacity!$F$3:$F$7)-R161,0)</f>
        <v>0</v>
      </c>
      <c r="N161">
        <f>IF(S161&lt;_xlfn.XLOOKUP(N$1,Capacity!$D$3:$D$7,Capacity!$E$3:$E$7),_xlfn.XLOOKUP(N$1,Capacity!$D$3:$D$7,Capacity!$F$3:$F$7)-S161,0)</f>
        <v>0</v>
      </c>
      <c r="O161">
        <f>IF(T161&lt;_xlfn.XLOOKUP(O$1,Capacity!$D$3:$D$7,Capacity!$E$3:$E$7),_xlfn.XLOOKUP(O$1,Capacity!$D$3:$D$7,Capacity!$F$3:$F$7)-T161,0)</f>
        <v>0</v>
      </c>
      <c r="P161">
        <f>IF(U161&lt;_xlfn.XLOOKUP(P$1,Capacity!$D$3:$D$7,Capacity!$E$3:$E$7),_xlfn.XLOOKUP(P$1,Capacity!$D$3:$D$7,Capacity!$F$3:$F$7)-U161,0)</f>
        <v>0</v>
      </c>
      <c r="Q161">
        <f t="shared" si="13"/>
        <v>4510</v>
      </c>
      <c r="R161">
        <f t="shared" si="14"/>
        <v>2796</v>
      </c>
      <c r="S161">
        <f t="shared" si="15"/>
        <v>1780</v>
      </c>
      <c r="T161">
        <f t="shared" si="16"/>
        <v>9500</v>
      </c>
      <c r="U161">
        <f t="shared" si="17"/>
        <v>5795</v>
      </c>
    </row>
    <row r="162" spans="1:21">
      <c r="A162" s="5">
        <f t="shared" si="18"/>
        <v>46183</v>
      </c>
      <c r="B162">
        <f>SUMIFS('Demand Projection'!$D$2:$D$169,'Demand Projection'!$B$2:$B$169,B$1,'Demand Projection'!$C$2:$C$169,$A162)</f>
        <v>0</v>
      </c>
      <c r="C162">
        <f>SUMIFS('Demand Projection'!$D$2:$D$169,'Demand Projection'!$B$2:$B$169,C$1,'Demand Projection'!$C$2:$C$169,$A162)</f>
        <v>0</v>
      </c>
      <c r="D162">
        <f>SUMIFS('Demand Projection'!$D$2:$D$169,'Demand Projection'!$B$2:$B$169,D$1,'Demand Projection'!$C$2:$C$169,$A162)</f>
        <v>0</v>
      </c>
      <c r="E162">
        <f>SUMIFS('Demand Projection'!$D$2:$D$169,'Demand Projection'!$B$2:$B$169,E$1,'Demand Projection'!$C$2:$C$169,$A162)</f>
        <v>0</v>
      </c>
      <c r="F162">
        <f>SUMIFS('Demand Projection'!$D$2:$D$169,'Demand Projection'!$B$2:$B$169,F$1,'Demand Projection'!$C$2:$C$169,$A162)</f>
        <v>0</v>
      </c>
      <c r="G162" cm="1">
        <f t="array" ref="G162">Q161+IF(ROW()-3&lt;2,0,INDEX(L:L,ROW()-3))</f>
        <v>4510</v>
      </c>
      <c r="H162" cm="1">
        <f t="array" ref="H162">R161+IF(ROW()-3&lt;2,0,INDEX(M:M,ROW()-3))</f>
        <v>2796</v>
      </c>
      <c r="I162" cm="1">
        <f t="array" ref="I162">S161+IF(ROW()-3&lt;2,0,INDEX(N:N,ROW()-3))</f>
        <v>1780</v>
      </c>
      <c r="J162" cm="1">
        <f t="array" ref="J162">T161+IF(ROW()-3&lt;2,0,INDEX(O:O,ROW()-3))</f>
        <v>9500</v>
      </c>
      <c r="K162" cm="1">
        <f t="array" ref="K162">U161+IF(ROW()-3&lt;2,0,INDEX(P:P,ROW()-3))</f>
        <v>5795</v>
      </c>
      <c r="L162">
        <f>IF(Q162&lt;_xlfn.XLOOKUP(L$1,Capacity!$D$3:$D$7,Capacity!$E$3:$E$7),_xlfn.XLOOKUP(L$1,Capacity!$D$3:$D$7,Capacity!$F$3:$F$7)-Q162,0)</f>
        <v>0</v>
      </c>
      <c r="M162">
        <f>IF(R162&lt;_xlfn.XLOOKUP(M$1,Capacity!$D$3:$D$7,Capacity!$E$3:$E$7),_xlfn.XLOOKUP(M$1,Capacity!$D$3:$D$7,Capacity!$F$3:$F$7)-R162,0)</f>
        <v>0</v>
      </c>
      <c r="N162">
        <f>IF(S162&lt;_xlfn.XLOOKUP(N$1,Capacity!$D$3:$D$7,Capacity!$E$3:$E$7),_xlfn.XLOOKUP(N$1,Capacity!$D$3:$D$7,Capacity!$F$3:$F$7)-S162,0)</f>
        <v>0</v>
      </c>
      <c r="O162">
        <f>IF(T162&lt;_xlfn.XLOOKUP(O$1,Capacity!$D$3:$D$7,Capacity!$E$3:$E$7),_xlfn.XLOOKUP(O$1,Capacity!$D$3:$D$7,Capacity!$F$3:$F$7)-T162,0)</f>
        <v>0</v>
      </c>
      <c r="P162">
        <f>IF(U162&lt;_xlfn.XLOOKUP(P$1,Capacity!$D$3:$D$7,Capacity!$E$3:$E$7),_xlfn.XLOOKUP(P$1,Capacity!$D$3:$D$7,Capacity!$F$3:$F$7)-U162,0)</f>
        <v>0</v>
      </c>
      <c r="Q162">
        <f t="shared" si="13"/>
        <v>4510</v>
      </c>
      <c r="R162">
        <f t="shared" si="14"/>
        <v>2796</v>
      </c>
      <c r="S162">
        <f t="shared" si="15"/>
        <v>1780</v>
      </c>
      <c r="T162">
        <f t="shared" si="16"/>
        <v>9500</v>
      </c>
      <c r="U162">
        <f t="shared" si="17"/>
        <v>5795</v>
      </c>
    </row>
    <row r="163" spans="1:21">
      <c r="A163" s="5">
        <f t="shared" si="18"/>
        <v>46184</v>
      </c>
      <c r="B163">
        <f>SUMIFS('Demand Projection'!$D$2:$D$169,'Demand Projection'!$B$2:$B$169,B$1,'Demand Projection'!$C$2:$C$169,$A163)</f>
        <v>0</v>
      </c>
      <c r="C163">
        <f>SUMIFS('Demand Projection'!$D$2:$D$169,'Demand Projection'!$B$2:$B$169,C$1,'Demand Projection'!$C$2:$C$169,$A163)</f>
        <v>0</v>
      </c>
      <c r="D163">
        <f>SUMIFS('Demand Projection'!$D$2:$D$169,'Demand Projection'!$B$2:$B$169,D$1,'Demand Projection'!$C$2:$C$169,$A163)</f>
        <v>0</v>
      </c>
      <c r="E163">
        <f>SUMIFS('Demand Projection'!$D$2:$D$169,'Demand Projection'!$B$2:$B$169,E$1,'Demand Projection'!$C$2:$C$169,$A163)</f>
        <v>0</v>
      </c>
      <c r="F163">
        <f>SUMIFS('Demand Projection'!$D$2:$D$169,'Demand Projection'!$B$2:$B$169,F$1,'Demand Projection'!$C$2:$C$169,$A163)</f>
        <v>0</v>
      </c>
      <c r="G163" cm="1">
        <f t="array" ref="G163">Q162+IF(ROW()-3&lt;2,0,INDEX(L:L,ROW()-3))</f>
        <v>4510</v>
      </c>
      <c r="H163" cm="1">
        <f t="array" ref="H163">R162+IF(ROW()-3&lt;2,0,INDEX(M:M,ROW()-3))</f>
        <v>2796</v>
      </c>
      <c r="I163" cm="1">
        <f t="array" ref="I163">S162+IF(ROW()-3&lt;2,0,INDEX(N:N,ROW()-3))</f>
        <v>1780</v>
      </c>
      <c r="J163" cm="1">
        <f t="array" ref="J163">T162+IF(ROW()-3&lt;2,0,INDEX(O:O,ROW()-3))</f>
        <v>9500</v>
      </c>
      <c r="K163" cm="1">
        <f t="array" ref="K163">U162+IF(ROW()-3&lt;2,0,INDEX(P:P,ROW()-3))</f>
        <v>5795</v>
      </c>
      <c r="L163">
        <f>IF(Q163&lt;_xlfn.XLOOKUP(L$1,Capacity!$D$3:$D$7,Capacity!$E$3:$E$7),_xlfn.XLOOKUP(L$1,Capacity!$D$3:$D$7,Capacity!$F$3:$F$7)-Q163,0)</f>
        <v>0</v>
      </c>
      <c r="M163">
        <f>IF(R163&lt;_xlfn.XLOOKUP(M$1,Capacity!$D$3:$D$7,Capacity!$E$3:$E$7),_xlfn.XLOOKUP(M$1,Capacity!$D$3:$D$7,Capacity!$F$3:$F$7)-R163,0)</f>
        <v>0</v>
      </c>
      <c r="N163">
        <f>IF(S163&lt;_xlfn.XLOOKUP(N$1,Capacity!$D$3:$D$7,Capacity!$E$3:$E$7),_xlfn.XLOOKUP(N$1,Capacity!$D$3:$D$7,Capacity!$F$3:$F$7)-S163,0)</f>
        <v>0</v>
      </c>
      <c r="O163">
        <f>IF(T163&lt;_xlfn.XLOOKUP(O$1,Capacity!$D$3:$D$7,Capacity!$E$3:$E$7),_xlfn.XLOOKUP(O$1,Capacity!$D$3:$D$7,Capacity!$F$3:$F$7)-T163,0)</f>
        <v>0</v>
      </c>
      <c r="P163">
        <f>IF(U163&lt;_xlfn.XLOOKUP(P$1,Capacity!$D$3:$D$7,Capacity!$E$3:$E$7),_xlfn.XLOOKUP(P$1,Capacity!$D$3:$D$7,Capacity!$F$3:$F$7)-U163,0)</f>
        <v>0</v>
      </c>
      <c r="Q163">
        <f t="shared" si="13"/>
        <v>4510</v>
      </c>
      <c r="R163">
        <f t="shared" si="14"/>
        <v>2796</v>
      </c>
      <c r="S163">
        <f t="shared" si="15"/>
        <v>1780</v>
      </c>
      <c r="T163">
        <f t="shared" si="16"/>
        <v>9500</v>
      </c>
      <c r="U163">
        <f t="shared" si="17"/>
        <v>5795</v>
      </c>
    </row>
    <row r="164" spans="1:21">
      <c r="A164" s="5">
        <f t="shared" si="18"/>
        <v>46185</v>
      </c>
      <c r="B164">
        <f>SUMIFS('Demand Projection'!$D$2:$D$169,'Demand Projection'!$B$2:$B$169,B$1,'Demand Projection'!$C$2:$C$169,$A164)</f>
        <v>0</v>
      </c>
      <c r="C164">
        <f>SUMIFS('Demand Projection'!$D$2:$D$169,'Demand Projection'!$B$2:$B$169,C$1,'Demand Projection'!$C$2:$C$169,$A164)</f>
        <v>0</v>
      </c>
      <c r="D164">
        <f>SUMIFS('Demand Projection'!$D$2:$D$169,'Demand Projection'!$B$2:$B$169,D$1,'Demand Projection'!$C$2:$C$169,$A164)</f>
        <v>0</v>
      </c>
      <c r="E164">
        <f>SUMIFS('Demand Projection'!$D$2:$D$169,'Demand Projection'!$B$2:$B$169,E$1,'Demand Projection'!$C$2:$C$169,$A164)</f>
        <v>0</v>
      </c>
      <c r="F164">
        <f>SUMIFS('Demand Projection'!$D$2:$D$169,'Demand Projection'!$B$2:$B$169,F$1,'Demand Projection'!$C$2:$C$169,$A164)</f>
        <v>382</v>
      </c>
      <c r="G164" cm="1">
        <f t="array" ref="G164">Q163+IF(ROW()-3&lt;2,0,INDEX(L:L,ROW()-3))</f>
        <v>4510</v>
      </c>
      <c r="H164" cm="1">
        <f t="array" ref="H164">R163+IF(ROW()-3&lt;2,0,INDEX(M:M,ROW()-3))</f>
        <v>2796</v>
      </c>
      <c r="I164" cm="1">
        <f t="array" ref="I164">S163+IF(ROW()-3&lt;2,0,INDEX(N:N,ROW()-3))</f>
        <v>1780</v>
      </c>
      <c r="J164" cm="1">
        <f t="array" ref="J164">T163+IF(ROW()-3&lt;2,0,INDEX(O:O,ROW()-3))</f>
        <v>9500</v>
      </c>
      <c r="K164" cm="1">
        <f t="array" ref="K164">U163+IF(ROW()-3&lt;2,0,INDEX(P:P,ROW()-3))</f>
        <v>5795</v>
      </c>
      <c r="L164">
        <f>IF(Q164&lt;_xlfn.XLOOKUP(L$1,Capacity!$D$3:$D$7,Capacity!$E$3:$E$7),_xlfn.XLOOKUP(L$1,Capacity!$D$3:$D$7,Capacity!$F$3:$F$7)-Q164,0)</f>
        <v>0</v>
      </c>
      <c r="M164">
        <f>IF(R164&lt;_xlfn.XLOOKUP(M$1,Capacity!$D$3:$D$7,Capacity!$E$3:$E$7),_xlfn.XLOOKUP(M$1,Capacity!$D$3:$D$7,Capacity!$F$3:$F$7)-R164,0)</f>
        <v>0</v>
      </c>
      <c r="N164">
        <f>IF(S164&lt;_xlfn.XLOOKUP(N$1,Capacity!$D$3:$D$7,Capacity!$E$3:$E$7),_xlfn.XLOOKUP(N$1,Capacity!$D$3:$D$7,Capacity!$F$3:$F$7)-S164,0)</f>
        <v>0</v>
      </c>
      <c r="O164">
        <f>IF(T164&lt;_xlfn.XLOOKUP(O$1,Capacity!$D$3:$D$7,Capacity!$E$3:$E$7),_xlfn.XLOOKUP(O$1,Capacity!$D$3:$D$7,Capacity!$F$3:$F$7)-T164,0)</f>
        <v>0</v>
      </c>
      <c r="P164">
        <f>IF(U164&lt;_xlfn.XLOOKUP(P$1,Capacity!$D$3:$D$7,Capacity!$E$3:$E$7),_xlfn.XLOOKUP(P$1,Capacity!$D$3:$D$7,Capacity!$F$3:$F$7)-U164,0)</f>
        <v>0</v>
      </c>
      <c r="Q164">
        <f t="shared" si="13"/>
        <v>4510</v>
      </c>
      <c r="R164">
        <f t="shared" si="14"/>
        <v>2796</v>
      </c>
      <c r="S164">
        <f t="shared" si="15"/>
        <v>1780</v>
      </c>
      <c r="T164">
        <f t="shared" si="16"/>
        <v>9500</v>
      </c>
      <c r="U164">
        <f t="shared" si="17"/>
        <v>5413</v>
      </c>
    </row>
    <row r="165" spans="1:21">
      <c r="A165" s="5">
        <f t="shared" si="18"/>
        <v>46186</v>
      </c>
      <c r="B165">
        <f>SUMIFS('Demand Projection'!$D$2:$D$169,'Demand Projection'!$B$2:$B$169,B$1,'Demand Projection'!$C$2:$C$169,$A165)</f>
        <v>0</v>
      </c>
      <c r="C165">
        <f>SUMIFS('Demand Projection'!$D$2:$D$169,'Demand Projection'!$B$2:$B$169,C$1,'Demand Projection'!$C$2:$C$169,$A165)</f>
        <v>573</v>
      </c>
      <c r="D165">
        <f>SUMIFS('Demand Projection'!$D$2:$D$169,'Demand Projection'!$B$2:$B$169,D$1,'Demand Projection'!$C$2:$C$169,$A165)</f>
        <v>0</v>
      </c>
      <c r="E165">
        <f>SUMIFS('Demand Projection'!$D$2:$D$169,'Demand Projection'!$B$2:$B$169,E$1,'Demand Projection'!$C$2:$C$169,$A165)</f>
        <v>0</v>
      </c>
      <c r="F165">
        <f>SUMIFS('Demand Projection'!$D$2:$D$169,'Demand Projection'!$B$2:$B$169,F$1,'Demand Projection'!$C$2:$C$169,$A165)</f>
        <v>0</v>
      </c>
      <c r="G165" cm="1">
        <f t="array" ref="G165">Q164+IF(ROW()-3&lt;2,0,INDEX(L:L,ROW()-3))</f>
        <v>4510</v>
      </c>
      <c r="H165" cm="1">
        <f t="array" ref="H165">R164+IF(ROW()-3&lt;2,0,INDEX(M:M,ROW()-3))</f>
        <v>2796</v>
      </c>
      <c r="I165" cm="1">
        <f t="array" ref="I165">S164+IF(ROW()-3&lt;2,0,INDEX(N:N,ROW()-3))</f>
        <v>1780</v>
      </c>
      <c r="J165" cm="1">
        <f t="array" ref="J165">T164+IF(ROW()-3&lt;2,0,INDEX(O:O,ROW()-3))</f>
        <v>9500</v>
      </c>
      <c r="K165" cm="1">
        <f t="array" ref="K165">U164+IF(ROW()-3&lt;2,0,INDEX(P:P,ROW()-3))</f>
        <v>5413</v>
      </c>
      <c r="L165">
        <f>IF(Q165&lt;_xlfn.XLOOKUP(L$1,Capacity!$D$3:$D$7,Capacity!$E$3:$E$7),_xlfn.XLOOKUP(L$1,Capacity!$D$3:$D$7,Capacity!$F$3:$F$7)-Q165,0)</f>
        <v>0</v>
      </c>
      <c r="M165">
        <f>IF(R165&lt;_xlfn.XLOOKUP(M$1,Capacity!$D$3:$D$7,Capacity!$E$3:$E$7),_xlfn.XLOOKUP(M$1,Capacity!$D$3:$D$7,Capacity!$F$3:$F$7)-R165,0)</f>
        <v>0</v>
      </c>
      <c r="N165">
        <f>IF(S165&lt;_xlfn.XLOOKUP(N$1,Capacity!$D$3:$D$7,Capacity!$E$3:$E$7),_xlfn.XLOOKUP(N$1,Capacity!$D$3:$D$7,Capacity!$F$3:$F$7)-S165,0)</f>
        <v>0</v>
      </c>
      <c r="O165">
        <f>IF(T165&lt;_xlfn.XLOOKUP(O$1,Capacity!$D$3:$D$7,Capacity!$E$3:$E$7),_xlfn.XLOOKUP(O$1,Capacity!$D$3:$D$7,Capacity!$F$3:$F$7)-T165,0)</f>
        <v>0</v>
      </c>
      <c r="P165">
        <f>IF(U165&lt;_xlfn.XLOOKUP(P$1,Capacity!$D$3:$D$7,Capacity!$E$3:$E$7),_xlfn.XLOOKUP(P$1,Capacity!$D$3:$D$7,Capacity!$F$3:$F$7)-U165,0)</f>
        <v>0</v>
      </c>
      <c r="Q165">
        <f t="shared" si="13"/>
        <v>4510</v>
      </c>
      <c r="R165">
        <f t="shared" si="14"/>
        <v>2223</v>
      </c>
      <c r="S165">
        <f t="shared" si="15"/>
        <v>1780</v>
      </c>
      <c r="T165">
        <f t="shared" si="16"/>
        <v>9500</v>
      </c>
      <c r="U165">
        <f t="shared" si="17"/>
        <v>5413</v>
      </c>
    </row>
    <row r="166" spans="1:21">
      <c r="A166" s="5">
        <f t="shared" si="18"/>
        <v>46187</v>
      </c>
      <c r="B166">
        <f>SUMIFS('Demand Projection'!$D$2:$D$169,'Demand Projection'!$B$2:$B$169,B$1,'Demand Projection'!$C$2:$C$169,$A166)</f>
        <v>0</v>
      </c>
      <c r="C166">
        <f>SUMIFS('Demand Projection'!$D$2:$D$169,'Demand Projection'!$B$2:$B$169,C$1,'Demand Projection'!$C$2:$C$169,$A166)</f>
        <v>0</v>
      </c>
      <c r="D166">
        <f>SUMIFS('Demand Projection'!$D$2:$D$169,'Demand Projection'!$B$2:$B$169,D$1,'Demand Projection'!$C$2:$C$169,$A166)</f>
        <v>0</v>
      </c>
      <c r="E166">
        <f>SUMIFS('Demand Projection'!$D$2:$D$169,'Demand Projection'!$B$2:$B$169,E$1,'Demand Projection'!$C$2:$C$169,$A166)</f>
        <v>0</v>
      </c>
      <c r="F166">
        <f>SUMIFS('Demand Projection'!$D$2:$D$169,'Demand Projection'!$B$2:$B$169,F$1,'Demand Projection'!$C$2:$C$169,$A166)</f>
        <v>0</v>
      </c>
      <c r="G166" cm="1">
        <f t="array" ref="G166">Q165+IF(ROW()-3&lt;2,0,INDEX(L:L,ROW()-3))</f>
        <v>4510</v>
      </c>
      <c r="H166" cm="1">
        <f t="array" ref="H166">R165+IF(ROW()-3&lt;2,0,INDEX(M:M,ROW()-3))</f>
        <v>2223</v>
      </c>
      <c r="I166" cm="1">
        <f t="array" ref="I166">S165+IF(ROW()-3&lt;2,0,INDEX(N:N,ROW()-3))</f>
        <v>1780</v>
      </c>
      <c r="J166" cm="1">
        <f t="array" ref="J166">T165+IF(ROW()-3&lt;2,0,INDEX(O:O,ROW()-3))</f>
        <v>9500</v>
      </c>
      <c r="K166" cm="1">
        <f t="array" ref="K166">U165+IF(ROW()-3&lt;2,0,INDEX(P:P,ROW()-3))</f>
        <v>5413</v>
      </c>
      <c r="L166">
        <f>IF(Q166&lt;_xlfn.XLOOKUP(L$1,Capacity!$D$3:$D$7,Capacity!$E$3:$E$7),_xlfn.XLOOKUP(L$1,Capacity!$D$3:$D$7,Capacity!$F$3:$F$7)-Q166,0)</f>
        <v>0</v>
      </c>
      <c r="M166">
        <f>IF(R166&lt;_xlfn.XLOOKUP(M$1,Capacity!$D$3:$D$7,Capacity!$E$3:$E$7),_xlfn.XLOOKUP(M$1,Capacity!$D$3:$D$7,Capacity!$F$3:$F$7)-R166,0)</f>
        <v>0</v>
      </c>
      <c r="N166">
        <f>IF(S166&lt;_xlfn.XLOOKUP(N$1,Capacity!$D$3:$D$7,Capacity!$E$3:$E$7),_xlfn.XLOOKUP(N$1,Capacity!$D$3:$D$7,Capacity!$F$3:$F$7)-S166,0)</f>
        <v>0</v>
      </c>
      <c r="O166">
        <f>IF(T166&lt;_xlfn.XLOOKUP(O$1,Capacity!$D$3:$D$7,Capacity!$E$3:$E$7),_xlfn.XLOOKUP(O$1,Capacity!$D$3:$D$7,Capacity!$F$3:$F$7)-T166,0)</f>
        <v>0</v>
      </c>
      <c r="P166">
        <f>IF(U166&lt;_xlfn.XLOOKUP(P$1,Capacity!$D$3:$D$7,Capacity!$E$3:$E$7),_xlfn.XLOOKUP(P$1,Capacity!$D$3:$D$7,Capacity!$F$3:$F$7)-U166,0)</f>
        <v>0</v>
      </c>
      <c r="Q166">
        <f t="shared" si="13"/>
        <v>4510</v>
      </c>
      <c r="R166">
        <f t="shared" si="14"/>
        <v>2223</v>
      </c>
      <c r="S166">
        <f t="shared" si="15"/>
        <v>1780</v>
      </c>
      <c r="T166">
        <f t="shared" si="16"/>
        <v>9500</v>
      </c>
      <c r="U166">
        <f t="shared" si="17"/>
        <v>5413</v>
      </c>
    </row>
    <row r="167" spans="1:21">
      <c r="A167" s="5">
        <f t="shared" si="18"/>
        <v>46188</v>
      </c>
      <c r="B167">
        <f>SUMIFS('Demand Projection'!$D$2:$D$169,'Demand Projection'!$B$2:$B$169,B$1,'Demand Projection'!$C$2:$C$169,$A167)</f>
        <v>0</v>
      </c>
      <c r="C167">
        <f>SUMIFS('Demand Projection'!$D$2:$D$169,'Demand Projection'!$B$2:$B$169,C$1,'Demand Projection'!$C$2:$C$169,$A167)</f>
        <v>0</v>
      </c>
      <c r="D167">
        <f>SUMIFS('Demand Projection'!$D$2:$D$169,'Demand Projection'!$B$2:$B$169,D$1,'Demand Projection'!$C$2:$C$169,$A167)</f>
        <v>0</v>
      </c>
      <c r="E167">
        <f>SUMIFS('Demand Projection'!$D$2:$D$169,'Demand Projection'!$B$2:$B$169,E$1,'Demand Projection'!$C$2:$C$169,$A167)</f>
        <v>0</v>
      </c>
      <c r="F167">
        <f>SUMIFS('Demand Projection'!$D$2:$D$169,'Demand Projection'!$B$2:$B$169,F$1,'Demand Projection'!$C$2:$C$169,$A167)</f>
        <v>0</v>
      </c>
      <c r="G167" cm="1">
        <f t="array" ref="G167">Q166+IF(ROW()-3&lt;2,0,INDEX(L:L,ROW()-3))</f>
        <v>4510</v>
      </c>
      <c r="H167" cm="1">
        <f t="array" ref="H167">R166+IF(ROW()-3&lt;2,0,INDEX(M:M,ROW()-3))</f>
        <v>2223</v>
      </c>
      <c r="I167" cm="1">
        <f t="array" ref="I167">S166+IF(ROW()-3&lt;2,0,INDEX(N:N,ROW()-3))</f>
        <v>1780</v>
      </c>
      <c r="J167" cm="1">
        <f t="array" ref="J167">T166+IF(ROW()-3&lt;2,0,INDEX(O:O,ROW()-3))</f>
        <v>9500</v>
      </c>
      <c r="K167" cm="1">
        <f t="array" ref="K167">U166+IF(ROW()-3&lt;2,0,INDEX(P:P,ROW()-3))</f>
        <v>5413</v>
      </c>
      <c r="L167">
        <f>IF(Q167&lt;_xlfn.XLOOKUP(L$1,Capacity!$D$3:$D$7,Capacity!$E$3:$E$7),_xlfn.XLOOKUP(L$1,Capacity!$D$3:$D$7,Capacity!$F$3:$F$7)-Q167,0)</f>
        <v>0</v>
      </c>
      <c r="M167">
        <f>IF(R167&lt;_xlfn.XLOOKUP(M$1,Capacity!$D$3:$D$7,Capacity!$E$3:$E$7),_xlfn.XLOOKUP(M$1,Capacity!$D$3:$D$7,Capacity!$F$3:$F$7)-R167,0)</f>
        <v>0</v>
      </c>
      <c r="N167">
        <f>IF(S167&lt;_xlfn.XLOOKUP(N$1,Capacity!$D$3:$D$7,Capacity!$E$3:$E$7),_xlfn.XLOOKUP(N$1,Capacity!$D$3:$D$7,Capacity!$F$3:$F$7)-S167,0)</f>
        <v>0</v>
      </c>
      <c r="O167">
        <f>IF(T167&lt;_xlfn.XLOOKUP(O$1,Capacity!$D$3:$D$7,Capacity!$E$3:$E$7),_xlfn.XLOOKUP(O$1,Capacity!$D$3:$D$7,Capacity!$F$3:$F$7)-T167,0)</f>
        <v>0</v>
      </c>
      <c r="P167">
        <f>IF(U167&lt;_xlfn.XLOOKUP(P$1,Capacity!$D$3:$D$7,Capacity!$E$3:$E$7),_xlfn.XLOOKUP(P$1,Capacity!$D$3:$D$7,Capacity!$F$3:$F$7)-U167,0)</f>
        <v>0</v>
      </c>
      <c r="Q167">
        <f t="shared" si="13"/>
        <v>4510</v>
      </c>
      <c r="R167">
        <f t="shared" si="14"/>
        <v>2223</v>
      </c>
      <c r="S167">
        <f t="shared" si="15"/>
        <v>1780</v>
      </c>
      <c r="T167">
        <f t="shared" si="16"/>
        <v>9500</v>
      </c>
      <c r="U167">
        <f t="shared" si="17"/>
        <v>5413</v>
      </c>
    </row>
    <row r="168" spans="1:21">
      <c r="A168" s="5">
        <f t="shared" si="18"/>
        <v>46189</v>
      </c>
      <c r="B168">
        <f>SUMIFS('Demand Projection'!$D$2:$D$169,'Demand Projection'!$B$2:$B$169,B$1,'Demand Projection'!$C$2:$C$169,$A168)</f>
        <v>0</v>
      </c>
      <c r="C168">
        <f>SUMIFS('Demand Projection'!$D$2:$D$169,'Demand Projection'!$B$2:$B$169,C$1,'Demand Projection'!$C$2:$C$169,$A168)</f>
        <v>0</v>
      </c>
      <c r="D168">
        <f>SUMIFS('Demand Projection'!$D$2:$D$169,'Demand Projection'!$B$2:$B$169,D$1,'Demand Projection'!$C$2:$C$169,$A168)</f>
        <v>0</v>
      </c>
      <c r="E168">
        <f>SUMIFS('Demand Projection'!$D$2:$D$169,'Demand Projection'!$B$2:$B$169,E$1,'Demand Projection'!$C$2:$C$169,$A168)</f>
        <v>0</v>
      </c>
      <c r="F168">
        <f>SUMIFS('Demand Projection'!$D$2:$D$169,'Demand Projection'!$B$2:$B$169,F$1,'Demand Projection'!$C$2:$C$169,$A168)</f>
        <v>0</v>
      </c>
      <c r="G168" cm="1">
        <f t="array" ref="G168">Q167+IF(ROW()-3&lt;2,0,INDEX(L:L,ROW()-3))</f>
        <v>4510</v>
      </c>
      <c r="H168" cm="1">
        <f t="array" ref="H168">R167+IF(ROW()-3&lt;2,0,INDEX(M:M,ROW()-3))</f>
        <v>2223</v>
      </c>
      <c r="I168" cm="1">
        <f t="array" ref="I168">S167+IF(ROW()-3&lt;2,0,INDEX(N:N,ROW()-3))</f>
        <v>1780</v>
      </c>
      <c r="J168" cm="1">
        <f t="array" ref="J168">T167+IF(ROW()-3&lt;2,0,INDEX(O:O,ROW()-3))</f>
        <v>9500</v>
      </c>
      <c r="K168" cm="1">
        <f t="array" ref="K168">U167+IF(ROW()-3&lt;2,0,INDEX(P:P,ROW()-3))</f>
        <v>5413</v>
      </c>
      <c r="L168">
        <f>IF(Q168&lt;_xlfn.XLOOKUP(L$1,Capacity!$D$3:$D$7,Capacity!$E$3:$E$7),_xlfn.XLOOKUP(L$1,Capacity!$D$3:$D$7,Capacity!$F$3:$F$7)-Q168,0)</f>
        <v>0</v>
      </c>
      <c r="M168">
        <f>IF(R168&lt;_xlfn.XLOOKUP(M$1,Capacity!$D$3:$D$7,Capacity!$E$3:$E$7),_xlfn.XLOOKUP(M$1,Capacity!$D$3:$D$7,Capacity!$F$3:$F$7)-R168,0)</f>
        <v>0</v>
      </c>
      <c r="N168">
        <f>IF(S168&lt;_xlfn.XLOOKUP(N$1,Capacity!$D$3:$D$7,Capacity!$E$3:$E$7),_xlfn.XLOOKUP(N$1,Capacity!$D$3:$D$7,Capacity!$F$3:$F$7)-S168,0)</f>
        <v>0</v>
      </c>
      <c r="O168">
        <f>IF(T168&lt;_xlfn.XLOOKUP(O$1,Capacity!$D$3:$D$7,Capacity!$E$3:$E$7),_xlfn.XLOOKUP(O$1,Capacity!$D$3:$D$7,Capacity!$F$3:$F$7)-T168,0)</f>
        <v>0</v>
      </c>
      <c r="P168">
        <f>IF(U168&lt;_xlfn.XLOOKUP(P$1,Capacity!$D$3:$D$7,Capacity!$E$3:$E$7),_xlfn.XLOOKUP(P$1,Capacity!$D$3:$D$7,Capacity!$F$3:$F$7)-U168,0)</f>
        <v>0</v>
      </c>
      <c r="Q168">
        <f t="shared" si="13"/>
        <v>4510</v>
      </c>
      <c r="R168">
        <f t="shared" si="14"/>
        <v>2223</v>
      </c>
      <c r="S168">
        <f t="shared" si="15"/>
        <v>1780</v>
      </c>
      <c r="T168">
        <f t="shared" si="16"/>
        <v>9500</v>
      </c>
      <c r="U168">
        <f t="shared" si="17"/>
        <v>5413</v>
      </c>
    </row>
    <row r="169" spans="1:21">
      <c r="A169" s="5">
        <f t="shared" si="18"/>
        <v>46190</v>
      </c>
      <c r="B169">
        <f>SUMIFS('Demand Projection'!$D$2:$D$169,'Demand Projection'!$B$2:$B$169,B$1,'Demand Projection'!$C$2:$C$169,$A169)</f>
        <v>0</v>
      </c>
      <c r="C169">
        <f>SUMIFS('Demand Projection'!$D$2:$D$169,'Demand Projection'!$B$2:$B$169,C$1,'Demand Projection'!$C$2:$C$169,$A169)</f>
        <v>0</v>
      </c>
      <c r="D169">
        <f>SUMIFS('Demand Projection'!$D$2:$D$169,'Demand Projection'!$B$2:$B$169,D$1,'Demand Projection'!$C$2:$C$169,$A169)</f>
        <v>0</v>
      </c>
      <c r="E169">
        <f>SUMIFS('Demand Projection'!$D$2:$D$169,'Demand Projection'!$B$2:$B$169,E$1,'Demand Projection'!$C$2:$C$169,$A169)</f>
        <v>815</v>
      </c>
      <c r="F169">
        <f>SUMIFS('Demand Projection'!$D$2:$D$169,'Demand Projection'!$B$2:$B$169,F$1,'Demand Projection'!$C$2:$C$169,$A169)</f>
        <v>0</v>
      </c>
      <c r="G169" cm="1">
        <f t="array" ref="G169">Q168+IF(ROW()-3&lt;2,0,INDEX(L:L,ROW()-3))</f>
        <v>4510</v>
      </c>
      <c r="H169" cm="1">
        <f t="array" ref="H169">R168+IF(ROW()-3&lt;2,0,INDEX(M:M,ROW()-3))</f>
        <v>2223</v>
      </c>
      <c r="I169" cm="1">
        <f t="array" ref="I169">S168+IF(ROW()-3&lt;2,0,INDEX(N:N,ROW()-3))</f>
        <v>1780</v>
      </c>
      <c r="J169" cm="1">
        <f t="array" ref="J169">T168+IF(ROW()-3&lt;2,0,INDEX(O:O,ROW()-3))</f>
        <v>9500</v>
      </c>
      <c r="K169" cm="1">
        <f t="array" ref="K169">U168+IF(ROW()-3&lt;2,0,INDEX(P:P,ROW()-3))</f>
        <v>5413</v>
      </c>
      <c r="L169">
        <f>IF(Q169&lt;_xlfn.XLOOKUP(L$1,Capacity!$D$3:$D$7,Capacity!$E$3:$E$7),_xlfn.XLOOKUP(L$1,Capacity!$D$3:$D$7,Capacity!$F$3:$F$7)-Q169,0)</f>
        <v>0</v>
      </c>
      <c r="M169">
        <f>IF(R169&lt;_xlfn.XLOOKUP(M$1,Capacity!$D$3:$D$7,Capacity!$E$3:$E$7),_xlfn.XLOOKUP(M$1,Capacity!$D$3:$D$7,Capacity!$F$3:$F$7)-R169,0)</f>
        <v>0</v>
      </c>
      <c r="N169">
        <f>IF(S169&lt;_xlfn.XLOOKUP(N$1,Capacity!$D$3:$D$7,Capacity!$E$3:$E$7),_xlfn.XLOOKUP(N$1,Capacity!$D$3:$D$7,Capacity!$F$3:$F$7)-S169,0)</f>
        <v>0</v>
      </c>
      <c r="O169">
        <f>IF(T169&lt;_xlfn.XLOOKUP(O$1,Capacity!$D$3:$D$7,Capacity!$E$3:$E$7),_xlfn.XLOOKUP(O$1,Capacity!$D$3:$D$7,Capacity!$F$3:$F$7)-T169,0)</f>
        <v>0</v>
      </c>
      <c r="P169">
        <f>IF(U169&lt;_xlfn.XLOOKUP(P$1,Capacity!$D$3:$D$7,Capacity!$E$3:$E$7),_xlfn.XLOOKUP(P$1,Capacity!$D$3:$D$7,Capacity!$F$3:$F$7)-U169,0)</f>
        <v>0</v>
      </c>
      <c r="Q169">
        <f t="shared" si="13"/>
        <v>4510</v>
      </c>
      <c r="R169">
        <f t="shared" si="14"/>
        <v>2223</v>
      </c>
      <c r="S169">
        <f t="shared" si="15"/>
        <v>1780</v>
      </c>
      <c r="T169">
        <f t="shared" si="16"/>
        <v>8685</v>
      </c>
      <c r="U169">
        <f t="shared" si="17"/>
        <v>5413</v>
      </c>
    </row>
    <row r="170" spans="1:21">
      <c r="A170" s="5">
        <f t="shared" si="18"/>
        <v>46191</v>
      </c>
      <c r="B170">
        <f>SUMIFS('Demand Projection'!$D$2:$D$169,'Demand Projection'!$B$2:$B$169,B$1,'Demand Projection'!$C$2:$C$169,$A170)</f>
        <v>0</v>
      </c>
      <c r="C170">
        <f>SUMIFS('Demand Projection'!$D$2:$D$169,'Demand Projection'!$B$2:$B$169,C$1,'Demand Projection'!$C$2:$C$169,$A170)</f>
        <v>0</v>
      </c>
      <c r="D170">
        <f>SUMIFS('Demand Projection'!$D$2:$D$169,'Demand Projection'!$B$2:$B$169,D$1,'Demand Projection'!$C$2:$C$169,$A170)</f>
        <v>0</v>
      </c>
      <c r="E170">
        <f>SUMIFS('Demand Projection'!$D$2:$D$169,'Demand Projection'!$B$2:$B$169,E$1,'Demand Projection'!$C$2:$C$169,$A170)</f>
        <v>0</v>
      </c>
      <c r="F170">
        <f>SUMIFS('Demand Projection'!$D$2:$D$169,'Demand Projection'!$B$2:$B$169,F$1,'Demand Projection'!$C$2:$C$169,$A170)</f>
        <v>0</v>
      </c>
      <c r="G170" cm="1">
        <f t="array" ref="G170">Q169+IF(ROW()-3&lt;2,0,INDEX(L:L,ROW()-3))</f>
        <v>4510</v>
      </c>
      <c r="H170" cm="1">
        <f t="array" ref="H170">R169+IF(ROW()-3&lt;2,0,INDEX(M:M,ROW()-3))</f>
        <v>2223</v>
      </c>
      <c r="I170" cm="1">
        <f t="array" ref="I170">S169+IF(ROW()-3&lt;2,0,INDEX(N:N,ROW()-3))</f>
        <v>1780</v>
      </c>
      <c r="J170" cm="1">
        <f t="array" ref="J170">T169+IF(ROW()-3&lt;2,0,INDEX(O:O,ROW()-3))</f>
        <v>8685</v>
      </c>
      <c r="K170" cm="1">
        <f t="array" ref="K170">U169+IF(ROW()-3&lt;2,0,INDEX(P:P,ROW()-3))</f>
        <v>5413</v>
      </c>
      <c r="L170">
        <f>IF(Q170&lt;_xlfn.XLOOKUP(L$1,Capacity!$D$3:$D$7,Capacity!$E$3:$E$7),_xlfn.XLOOKUP(L$1,Capacity!$D$3:$D$7,Capacity!$F$3:$F$7)-Q170,0)</f>
        <v>0</v>
      </c>
      <c r="M170">
        <f>IF(R170&lt;_xlfn.XLOOKUP(M$1,Capacity!$D$3:$D$7,Capacity!$E$3:$E$7),_xlfn.XLOOKUP(M$1,Capacity!$D$3:$D$7,Capacity!$F$3:$F$7)-R170,0)</f>
        <v>0</v>
      </c>
      <c r="N170">
        <f>IF(S170&lt;_xlfn.XLOOKUP(N$1,Capacity!$D$3:$D$7,Capacity!$E$3:$E$7),_xlfn.XLOOKUP(N$1,Capacity!$D$3:$D$7,Capacity!$F$3:$F$7)-S170,0)</f>
        <v>0</v>
      </c>
      <c r="O170">
        <f>IF(T170&lt;_xlfn.XLOOKUP(O$1,Capacity!$D$3:$D$7,Capacity!$E$3:$E$7),_xlfn.XLOOKUP(O$1,Capacity!$D$3:$D$7,Capacity!$F$3:$F$7)-T170,0)</f>
        <v>0</v>
      </c>
      <c r="P170">
        <f>IF(U170&lt;_xlfn.XLOOKUP(P$1,Capacity!$D$3:$D$7,Capacity!$E$3:$E$7),_xlfn.XLOOKUP(P$1,Capacity!$D$3:$D$7,Capacity!$F$3:$F$7)-U170,0)</f>
        <v>0</v>
      </c>
      <c r="Q170">
        <f t="shared" si="13"/>
        <v>4510</v>
      </c>
      <c r="R170">
        <f t="shared" si="14"/>
        <v>2223</v>
      </c>
      <c r="S170">
        <f t="shared" si="15"/>
        <v>1780</v>
      </c>
      <c r="T170">
        <f t="shared" si="16"/>
        <v>8685</v>
      </c>
      <c r="U170">
        <f t="shared" si="17"/>
        <v>5413</v>
      </c>
    </row>
    <row r="171" spans="1:21">
      <c r="A171" s="5">
        <f t="shared" si="18"/>
        <v>46192</v>
      </c>
      <c r="B171">
        <f>SUMIFS('Demand Projection'!$D$2:$D$169,'Demand Projection'!$B$2:$B$169,B$1,'Demand Projection'!$C$2:$C$169,$A171)</f>
        <v>0</v>
      </c>
      <c r="C171">
        <f>SUMIFS('Demand Projection'!$D$2:$D$169,'Demand Projection'!$B$2:$B$169,C$1,'Demand Projection'!$C$2:$C$169,$A171)</f>
        <v>0</v>
      </c>
      <c r="D171">
        <f>SUMIFS('Demand Projection'!$D$2:$D$169,'Demand Projection'!$B$2:$B$169,D$1,'Demand Projection'!$C$2:$C$169,$A171)</f>
        <v>0</v>
      </c>
      <c r="E171">
        <f>SUMIFS('Demand Projection'!$D$2:$D$169,'Demand Projection'!$B$2:$B$169,E$1,'Demand Projection'!$C$2:$C$169,$A171)</f>
        <v>0</v>
      </c>
      <c r="F171">
        <f>SUMIFS('Demand Projection'!$D$2:$D$169,'Demand Projection'!$B$2:$B$169,F$1,'Demand Projection'!$C$2:$C$169,$A171)</f>
        <v>0</v>
      </c>
      <c r="G171" cm="1">
        <f t="array" ref="G171">Q170+IF(ROW()-3&lt;2,0,INDEX(L:L,ROW()-3))</f>
        <v>4510</v>
      </c>
      <c r="H171" cm="1">
        <f t="array" ref="H171">R170+IF(ROW()-3&lt;2,0,INDEX(M:M,ROW()-3))</f>
        <v>2223</v>
      </c>
      <c r="I171" cm="1">
        <f t="array" ref="I171">S170+IF(ROW()-3&lt;2,0,INDEX(N:N,ROW()-3))</f>
        <v>1780</v>
      </c>
      <c r="J171" cm="1">
        <f t="array" ref="J171">T170+IF(ROW()-3&lt;2,0,INDEX(O:O,ROW()-3))</f>
        <v>8685</v>
      </c>
      <c r="K171" cm="1">
        <f t="array" ref="K171">U170+IF(ROW()-3&lt;2,0,INDEX(P:P,ROW()-3))</f>
        <v>5413</v>
      </c>
      <c r="L171">
        <f>IF(Q171&lt;_xlfn.XLOOKUP(L$1,Capacity!$D$3:$D$7,Capacity!$E$3:$E$7),_xlfn.XLOOKUP(L$1,Capacity!$D$3:$D$7,Capacity!$F$3:$F$7)-Q171,0)</f>
        <v>0</v>
      </c>
      <c r="M171">
        <f>IF(R171&lt;_xlfn.XLOOKUP(M$1,Capacity!$D$3:$D$7,Capacity!$E$3:$E$7),_xlfn.XLOOKUP(M$1,Capacity!$D$3:$D$7,Capacity!$F$3:$F$7)-R171,0)</f>
        <v>0</v>
      </c>
      <c r="N171">
        <f>IF(S171&lt;_xlfn.XLOOKUP(N$1,Capacity!$D$3:$D$7,Capacity!$E$3:$E$7),_xlfn.XLOOKUP(N$1,Capacity!$D$3:$D$7,Capacity!$F$3:$F$7)-S171,0)</f>
        <v>0</v>
      </c>
      <c r="O171">
        <f>IF(T171&lt;_xlfn.XLOOKUP(O$1,Capacity!$D$3:$D$7,Capacity!$E$3:$E$7),_xlfn.XLOOKUP(O$1,Capacity!$D$3:$D$7,Capacity!$F$3:$F$7)-T171,0)</f>
        <v>0</v>
      </c>
      <c r="P171">
        <f>IF(U171&lt;_xlfn.XLOOKUP(P$1,Capacity!$D$3:$D$7,Capacity!$E$3:$E$7),_xlfn.XLOOKUP(P$1,Capacity!$D$3:$D$7,Capacity!$F$3:$F$7)-U171,0)</f>
        <v>0</v>
      </c>
      <c r="Q171">
        <f t="shared" si="13"/>
        <v>4510</v>
      </c>
      <c r="R171">
        <f t="shared" si="14"/>
        <v>2223</v>
      </c>
      <c r="S171">
        <f t="shared" si="15"/>
        <v>1780</v>
      </c>
      <c r="T171">
        <f t="shared" si="16"/>
        <v>8685</v>
      </c>
      <c r="U171">
        <f t="shared" si="17"/>
        <v>5413</v>
      </c>
    </row>
    <row r="172" spans="1:21">
      <c r="A172" s="5">
        <f t="shared" si="18"/>
        <v>46193</v>
      </c>
      <c r="B172">
        <f>SUMIFS('Demand Projection'!$D$2:$D$169,'Demand Projection'!$B$2:$B$169,B$1,'Demand Projection'!$C$2:$C$169,$A172)</f>
        <v>0</v>
      </c>
      <c r="C172">
        <f>SUMIFS('Demand Projection'!$D$2:$D$169,'Demand Projection'!$B$2:$B$169,C$1,'Demand Projection'!$C$2:$C$169,$A172)</f>
        <v>0</v>
      </c>
      <c r="D172">
        <f>SUMIFS('Demand Projection'!$D$2:$D$169,'Demand Projection'!$B$2:$B$169,D$1,'Demand Projection'!$C$2:$C$169,$A172)</f>
        <v>750</v>
      </c>
      <c r="E172">
        <f>SUMIFS('Demand Projection'!$D$2:$D$169,'Demand Projection'!$B$2:$B$169,E$1,'Demand Projection'!$C$2:$C$169,$A172)</f>
        <v>0</v>
      </c>
      <c r="F172">
        <f>SUMIFS('Demand Projection'!$D$2:$D$169,'Demand Projection'!$B$2:$B$169,F$1,'Demand Projection'!$C$2:$C$169,$A172)</f>
        <v>0</v>
      </c>
      <c r="G172" cm="1">
        <f t="array" ref="G172">Q171+IF(ROW()-3&lt;2,0,INDEX(L:L,ROW()-3))</f>
        <v>4510</v>
      </c>
      <c r="H172" cm="1">
        <f t="array" ref="H172">R171+IF(ROW()-3&lt;2,0,INDEX(M:M,ROW()-3))</f>
        <v>2223</v>
      </c>
      <c r="I172" cm="1">
        <f t="array" ref="I172">S171+IF(ROW()-3&lt;2,0,INDEX(N:N,ROW()-3))</f>
        <v>1780</v>
      </c>
      <c r="J172" cm="1">
        <f t="array" ref="J172">T171+IF(ROW()-3&lt;2,0,INDEX(O:O,ROW()-3))</f>
        <v>8685</v>
      </c>
      <c r="K172" cm="1">
        <f t="array" ref="K172">U171+IF(ROW()-3&lt;2,0,INDEX(P:P,ROW()-3))</f>
        <v>5413</v>
      </c>
      <c r="L172">
        <f>IF(Q172&lt;_xlfn.XLOOKUP(L$1,Capacity!$D$3:$D$7,Capacity!$E$3:$E$7),_xlfn.XLOOKUP(L$1,Capacity!$D$3:$D$7,Capacity!$F$3:$F$7)-Q172,0)</f>
        <v>0</v>
      </c>
      <c r="M172">
        <f>IF(R172&lt;_xlfn.XLOOKUP(M$1,Capacity!$D$3:$D$7,Capacity!$E$3:$E$7),_xlfn.XLOOKUP(M$1,Capacity!$D$3:$D$7,Capacity!$F$3:$F$7)-R172,0)</f>
        <v>0</v>
      </c>
      <c r="N172">
        <f>IF(S172&lt;_xlfn.XLOOKUP(N$1,Capacity!$D$3:$D$7,Capacity!$E$3:$E$7),_xlfn.XLOOKUP(N$1,Capacity!$D$3:$D$7,Capacity!$F$3:$F$7)-S172,0)</f>
        <v>0</v>
      </c>
      <c r="O172">
        <f>IF(T172&lt;_xlfn.XLOOKUP(O$1,Capacity!$D$3:$D$7,Capacity!$E$3:$E$7),_xlfn.XLOOKUP(O$1,Capacity!$D$3:$D$7,Capacity!$F$3:$F$7)-T172,0)</f>
        <v>0</v>
      </c>
      <c r="P172">
        <f>IF(U172&lt;_xlfn.XLOOKUP(P$1,Capacity!$D$3:$D$7,Capacity!$E$3:$E$7),_xlfn.XLOOKUP(P$1,Capacity!$D$3:$D$7,Capacity!$F$3:$F$7)-U172,0)</f>
        <v>0</v>
      </c>
      <c r="Q172">
        <f t="shared" si="13"/>
        <v>4510</v>
      </c>
      <c r="R172">
        <f t="shared" si="14"/>
        <v>2223</v>
      </c>
      <c r="S172">
        <f t="shared" si="15"/>
        <v>1030</v>
      </c>
      <c r="T172">
        <f t="shared" si="16"/>
        <v>8685</v>
      </c>
      <c r="U172">
        <f t="shared" si="17"/>
        <v>5413</v>
      </c>
    </row>
    <row r="173" spans="1:21">
      <c r="A173" s="5">
        <f t="shared" si="18"/>
        <v>46194</v>
      </c>
      <c r="B173">
        <f>SUMIFS('Demand Projection'!$D$2:$D$169,'Demand Projection'!$B$2:$B$169,B$1,'Demand Projection'!$C$2:$C$169,$A173)</f>
        <v>0</v>
      </c>
      <c r="C173">
        <f>SUMIFS('Demand Projection'!$D$2:$D$169,'Demand Projection'!$B$2:$B$169,C$1,'Demand Projection'!$C$2:$C$169,$A173)</f>
        <v>0</v>
      </c>
      <c r="D173">
        <f>SUMIFS('Demand Projection'!$D$2:$D$169,'Demand Projection'!$B$2:$B$169,D$1,'Demand Projection'!$C$2:$C$169,$A173)</f>
        <v>0</v>
      </c>
      <c r="E173">
        <f>SUMIFS('Demand Projection'!$D$2:$D$169,'Demand Projection'!$B$2:$B$169,E$1,'Demand Projection'!$C$2:$C$169,$A173)</f>
        <v>0</v>
      </c>
      <c r="F173">
        <f>SUMIFS('Demand Projection'!$D$2:$D$169,'Demand Projection'!$B$2:$B$169,F$1,'Demand Projection'!$C$2:$C$169,$A173)</f>
        <v>0</v>
      </c>
      <c r="G173" cm="1">
        <f t="array" ref="G173">Q172+IF(ROW()-3&lt;2,0,INDEX(L:L,ROW()-3))</f>
        <v>4510</v>
      </c>
      <c r="H173" cm="1">
        <f t="array" ref="H173">R172+IF(ROW()-3&lt;2,0,INDEX(M:M,ROW()-3))</f>
        <v>2223</v>
      </c>
      <c r="I173" cm="1">
        <f t="array" ref="I173">S172+IF(ROW()-3&lt;2,0,INDEX(N:N,ROW()-3))</f>
        <v>1030</v>
      </c>
      <c r="J173" cm="1">
        <f t="array" ref="J173">T172+IF(ROW()-3&lt;2,0,INDEX(O:O,ROW()-3))</f>
        <v>8685</v>
      </c>
      <c r="K173" cm="1">
        <f t="array" ref="K173">U172+IF(ROW()-3&lt;2,0,INDEX(P:P,ROW()-3))</f>
        <v>5413</v>
      </c>
      <c r="L173">
        <f>IF(Q173&lt;_xlfn.XLOOKUP(L$1,Capacity!$D$3:$D$7,Capacity!$E$3:$E$7),_xlfn.XLOOKUP(L$1,Capacity!$D$3:$D$7,Capacity!$F$3:$F$7)-Q173,0)</f>
        <v>0</v>
      </c>
      <c r="M173">
        <f>IF(R173&lt;_xlfn.XLOOKUP(M$1,Capacity!$D$3:$D$7,Capacity!$E$3:$E$7),_xlfn.XLOOKUP(M$1,Capacity!$D$3:$D$7,Capacity!$F$3:$F$7)-R173,0)</f>
        <v>0</v>
      </c>
      <c r="N173">
        <f>IF(S173&lt;_xlfn.XLOOKUP(N$1,Capacity!$D$3:$D$7,Capacity!$E$3:$E$7),_xlfn.XLOOKUP(N$1,Capacity!$D$3:$D$7,Capacity!$F$3:$F$7)-S173,0)</f>
        <v>0</v>
      </c>
      <c r="O173">
        <f>IF(T173&lt;_xlfn.XLOOKUP(O$1,Capacity!$D$3:$D$7,Capacity!$E$3:$E$7),_xlfn.XLOOKUP(O$1,Capacity!$D$3:$D$7,Capacity!$F$3:$F$7)-T173,0)</f>
        <v>0</v>
      </c>
      <c r="P173">
        <f>IF(U173&lt;_xlfn.XLOOKUP(P$1,Capacity!$D$3:$D$7,Capacity!$E$3:$E$7),_xlfn.XLOOKUP(P$1,Capacity!$D$3:$D$7,Capacity!$F$3:$F$7)-U173,0)</f>
        <v>0</v>
      </c>
      <c r="Q173">
        <f t="shared" si="13"/>
        <v>4510</v>
      </c>
      <c r="R173">
        <f t="shared" si="14"/>
        <v>2223</v>
      </c>
      <c r="S173">
        <f t="shared" si="15"/>
        <v>1030</v>
      </c>
      <c r="T173">
        <f t="shared" si="16"/>
        <v>8685</v>
      </c>
      <c r="U173">
        <f t="shared" si="17"/>
        <v>5413</v>
      </c>
    </row>
    <row r="174" spans="1:21">
      <c r="A174" s="5">
        <f t="shared" si="18"/>
        <v>46195</v>
      </c>
      <c r="B174">
        <f>SUMIFS('Demand Projection'!$D$2:$D$169,'Demand Projection'!$B$2:$B$169,B$1,'Demand Projection'!$C$2:$C$169,$A174)</f>
        <v>0</v>
      </c>
      <c r="C174">
        <f>SUMIFS('Demand Projection'!$D$2:$D$169,'Demand Projection'!$B$2:$B$169,C$1,'Demand Projection'!$C$2:$C$169,$A174)</f>
        <v>0</v>
      </c>
      <c r="D174">
        <f>SUMIFS('Demand Projection'!$D$2:$D$169,'Demand Projection'!$B$2:$B$169,D$1,'Demand Projection'!$C$2:$C$169,$A174)</f>
        <v>0</v>
      </c>
      <c r="E174">
        <f>SUMIFS('Demand Projection'!$D$2:$D$169,'Demand Projection'!$B$2:$B$169,E$1,'Demand Projection'!$C$2:$C$169,$A174)</f>
        <v>0</v>
      </c>
      <c r="F174">
        <f>SUMIFS('Demand Projection'!$D$2:$D$169,'Demand Projection'!$B$2:$B$169,F$1,'Demand Projection'!$C$2:$C$169,$A174)</f>
        <v>0</v>
      </c>
      <c r="G174" cm="1">
        <f t="array" ref="G174">Q173+IF(ROW()-3&lt;2,0,INDEX(L:L,ROW()-3))</f>
        <v>4510</v>
      </c>
      <c r="H174" cm="1">
        <f t="array" ref="H174">R173+IF(ROW()-3&lt;2,0,INDEX(M:M,ROW()-3))</f>
        <v>2223</v>
      </c>
      <c r="I174" cm="1">
        <f t="array" ref="I174">S173+IF(ROW()-3&lt;2,0,INDEX(N:N,ROW()-3))</f>
        <v>1030</v>
      </c>
      <c r="J174" cm="1">
        <f t="array" ref="J174">T173+IF(ROW()-3&lt;2,0,INDEX(O:O,ROW()-3))</f>
        <v>8685</v>
      </c>
      <c r="K174" cm="1">
        <f t="array" ref="K174">U173+IF(ROW()-3&lt;2,0,INDEX(P:P,ROW()-3))</f>
        <v>5413</v>
      </c>
      <c r="L174">
        <f>IF(Q174&lt;_xlfn.XLOOKUP(L$1,Capacity!$D$3:$D$7,Capacity!$E$3:$E$7),_xlfn.XLOOKUP(L$1,Capacity!$D$3:$D$7,Capacity!$F$3:$F$7)-Q174,0)</f>
        <v>0</v>
      </c>
      <c r="M174">
        <f>IF(R174&lt;_xlfn.XLOOKUP(M$1,Capacity!$D$3:$D$7,Capacity!$E$3:$E$7),_xlfn.XLOOKUP(M$1,Capacity!$D$3:$D$7,Capacity!$F$3:$F$7)-R174,0)</f>
        <v>0</v>
      </c>
      <c r="N174">
        <f>IF(S174&lt;_xlfn.XLOOKUP(N$1,Capacity!$D$3:$D$7,Capacity!$E$3:$E$7),_xlfn.XLOOKUP(N$1,Capacity!$D$3:$D$7,Capacity!$F$3:$F$7)-S174,0)</f>
        <v>0</v>
      </c>
      <c r="O174">
        <f>IF(T174&lt;_xlfn.XLOOKUP(O$1,Capacity!$D$3:$D$7,Capacity!$E$3:$E$7),_xlfn.XLOOKUP(O$1,Capacity!$D$3:$D$7,Capacity!$F$3:$F$7)-T174,0)</f>
        <v>0</v>
      </c>
      <c r="P174">
        <f>IF(U174&lt;_xlfn.XLOOKUP(P$1,Capacity!$D$3:$D$7,Capacity!$E$3:$E$7),_xlfn.XLOOKUP(P$1,Capacity!$D$3:$D$7,Capacity!$F$3:$F$7)-U174,0)</f>
        <v>0</v>
      </c>
      <c r="Q174">
        <f t="shared" si="13"/>
        <v>4510</v>
      </c>
      <c r="R174">
        <f t="shared" si="14"/>
        <v>2223</v>
      </c>
      <c r="S174">
        <f t="shared" si="15"/>
        <v>1030</v>
      </c>
      <c r="T174">
        <f t="shared" si="16"/>
        <v>8685</v>
      </c>
      <c r="U174">
        <f t="shared" si="17"/>
        <v>5413</v>
      </c>
    </row>
    <row r="175" spans="1:21">
      <c r="A175" s="5">
        <f t="shared" si="18"/>
        <v>46196</v>
      </c>
      <c r="B175">
        <f>SUMIFS('Demand Projection'!$D$2:$D$169,'Demand Projection'!$B$2:$B$169,B$1,'Demand Projection'!$C$2:$C$169,$A175)</f>
        <v>0</v>
      </c>
      <c r="C175">
        <f>SUMIFS('Demand Projection'!$D$2:$D$169,'Demand Projection'!$B$2:$B$169,C$1,'Demand Projection'!$C$2:$C$169,$A175)</f>
        <v>0</v>
      </c>
      <c r="D175">
        <f>SUMIFS('Demand Projection'!$D$2:$D$169,'Demand Projection'!$B$2:$B$169,D$1,'Demand Projection'!$C$2:$C$169,$A175)</f>
        <v>0</v>
      </c>
      <c r="E175">
        <f>SUMIFS('Demand Projection'!$D$2:$D$169,'Demand Projection'!$B$2:$B$169,E$1,'Demand Projection'!$C$2:$C$169,$A175)</f>
        <v>0</v>
      </c>
      <c r="F175">
        <f>SUMIFS('Demand Projection'!$D$2:$D$169,'Demand Projection'!$B$2:$B$169,F$1,'Demand Projection'!$C$2:$C$169,$A175)</f>
        <v>0</v>
      </c>
      <c r="G175" cm="1">
        <f t="array" ref="G175">Q174+IF(ROW()-3&lt;2,0,INDEX(L:L,ROW()-3))</f>
        <v>4510</v>
      </c>
      <c r="H175" cm="1">
        <f t="array" ref="H175">R174+IF(ROW()-3&lt;2,0,INDEX(M:M,ROW()-3))</f>
        <v>2223</v>
      </c>
      <c r="I175" cm="1">
        <f t="array" ref="I175">S174+IF(ROW()-3&lt;2,0,INDEX(N:N,ROW()-3))</f>
        <v>1030</v>
      </c>
      <c r="J175" cm="1">
        <f t="array" ref="J175">T174+IF(ROW()-3&lt;2,0,INDEX(O:O,ROW()-3))</f>
        <v>8685</v>
      </c>
      <c r="K175" cm="1">
        <f t="array" ref="K175">U174+IF(ROW()-3&lt;2,0,INDEX(P:P,ROW()-3))</f>
        <v>5413</v>
      </c>
      <c r="L175">
        <f>IF(Q175&lt;_xlfn.XLOOKUP(L$1,Capacity!$D$3:$D$7,Capacity!$E$3:$E$7),_xlfn.XLOOKUP(L$1,Capacity!$D$3:$D$7,Capacity!$F$3:$F$7)-Q175,0)</f>
        <v>0</v>
      </c>
      <c r="M175">
        <f>IF(R175&lt;_xlfn.XLOOKUP(M$1,Capacity!$D$3:$D$7,Capacity!$E$3:$E$7),_xlfn.XLOOKUP(M$1,Capacity!$D$3:$D$7,Capacity!$F$3:$F$7)-R175,0)</f>
        <v>0</v>
      </c>
      <c r="N175">
        <f>IF(S175&lt;_xlfn.XLOOKUP(N$1,Capacity!$D$3:$D$7,Capacity!$E$3:$E$7),_xlfn.XLOOKUP(N$1,Capacity!$D$3:$D$7,Capacity!$F$3:$F$7)-S175,0)</f>
        <v>0</v>
      </c>
      <c r="O175">
        <f>IF(T175&lt;_xlfn.XLOOKUP(O$1,Capacity!$D$3:$D$7,Capacity!$E$3:$E$7),_xlfn.XLOOKUP(O$1,Capacity!$D$3:$D$7,Capacity!$F$3:$F$7)-T175,0)</f>
        <v>0</v>
      </c>
      <c r="P175">
        <f>IF(U175&lt;_xlfn.XLOOKUP(P$1,Capacity!$D$3:$D$7,Capacity!$E$3:$E$7),_xlfn.XLOOKUP(P$1,Capacity!$D$3:$D$7,Capacity!$F$3:$F$7)-U175,0)</f>
        <v>0</v>
      </c>
      <c r="Q175">
        <f t="shared" si="13"/>
        <v>4510</v>
      </c>
      <c r="R175">
        <f t="shared" si="14"/>
        <v>2223</v>
      </c>
      <c r="S175">
        <f t="shared" si="15"/>
        <v>1030</v>
      </c>
      <c r="T175">
        <f t="shared" si="16"/>
        <v>8685</v>
      </c>
      <c r="U175">
        <f t="shared" si="17"/>
        <v>5413</v>
      </c>
    </row>
    <row r="176" spans="1:21">
      <c r="A176" s="5">
        <f t="shared" si="18"/>
        <v>46197</v>
      </c>
      <c r="B176">
        <f>SUMIFS('Demand Projection'!$D$2:$D$169,'Demand Projection'!$B$2:$B$169,B$1,'Demand Projection'!$C$2:$C$169,$A176)</f>
        <v>1036</v>
      </c>
      <c r="C176">
        <f>SUMIFS('Demand Projection'!$D$2:$D$169,'Demand Projection'!$B$2:$B$169,C$1,'Demand Projection'!$C$2:$C$169,$A176)</f>
        <v>0</v>
      </c>
      <c r="D176">
        <f>SUMIFS('Demand Projection'!$D$2:$D$169,'Demand Projection'!$B$2:$B$169,D$1,'Demand Projection'!$C$2:$C$169,$A176)</f>
        <v>0</v>
      </c>
      <c r="E176">
        <f>SUMIFS('Demand Projection'!$D$2:$D$169,'Demand Projection'!$B$2:$B$169,E$1,'Demand Projection'!$C$2:$C$169,$A176)</f>
        <v>0</v>
      </c>
      <c r="F176">
        <f>SUMIFS('Demand Projection'!$D$2:$D$169,'Demand Projection'!$B$2:$B$169,F$1,'Demand Projection'!$C$2:$C$169,$A176)</f>
        <v>0</v>
      </c>
      <c r="G176" cm="1">
        <f t="array" ref="G176">Q175+IF(ROW()-3&lt;2,0,INDEX(L:L,ROW()-3))</f>
        <v>4510</v>
      </c>
      <c r="H176" cm="1">
        <f t="array" ref="H176">R175+IF(ROW()-3&lt;2,0,INDEX(M:M,ROW()-3))</f>
        <v>2223</v>
      </c>
      <c r="I176" cm="1">
        <f t="array" ref="I176">S175+IF(ROW()-3&lt;2,0,INDEX(N:N,ROW()-3))</f>
        <v>1030</v>
      </c>
      <c r="J176" cm="1">
        <f t="array" ref="J176">T175+IF(ROW()-3&lt;2,0,INDEX(O:O,ROW()-3))</f>
        <v>8685</v>
      </c>
      <c r="K176" cm="1">
        <f t="array" ref="K176">U175+IF(ROW()-3&lt;2,0,INDEX(P:P,ROW()-3))</f>
        <v>5413</v>
      </c>
      <c r="L176">
        <f>IF(Q176&lt;_xlfn.XLOOKUP(L$1,Capacity!$D$3:$D$7,Capacity!$E$3:$E$7),_xlfn.XLOOKUP(L$1,Capacity!$D$3:$D$7,Capacity!$F$3:$F$7)-Q176,0)</f>
        <v>0</v>
      </c>
      <c r="M176">
        <f>IF(R176&lt;_xlfn.XLOOKUP(M$1,Capacity!$D$3:$D$7,Capacity!$E$3:$E$7),_xlfn.XLOOKUP(M$1,Capacity!$D$3:$D$7,Capacity!$F$3:$F$7)-R176,0)</f>
        <v>0</v>
      </c>
      <c r="N176">
        <f>IF(S176&lt;_xlfn.XLOOKUP(N$1,Capacity!$D$3:$D$7,Capacity!$E$3:$E$7),_xlfn.XLOOKUP(N$1,Capacity!$D$3:$D$7,Capacity!$F$3:$F$7)-S176,0)</f>
        <v>0</v>
      </c>
      <c r="O176">
        <f>IF(T176&lt;_xlfn.XLOOKUP(O$1,Capacity!$D$3:$D$7,Capacity!$E$3:$E$7),_xlfn.XLOOKUP(O$1,Capacity!$D$3:$D$7,Capacity!$F$3:$F$7)-T176,0)</f>
        <v>0</v>
      </c>
      <c r="P176">
        <f>IF(U176&lt;_xlfn.XLOOKUP(P$1,Capacity!$D$3:$D$7,Capacity!$E$3:$E$7),_xlfn.XLOOKUP(P$1,Capacity!$D$3:$D$7,Capacity!$F$3:$F$7)-U176,0)</f>
        <v>0</v>
      </c>
      <c r="Q176">
        <f t="shared" si="13"/>
        <v>3474</v>
      </c>
      <c r="R176">
        <f t="shared" si="14"/>
        <v>2223</v>
      </c>
      <c r="S176">
        <f t="shared" si="15"/>
        <v>1030</v>
      </c>
      <c r="T176">
        <f t="shared" si="16"/>
        <v>8685</v>
      </c>
      <c r="U176">
        <f t="shared" si="17"/>
        <v>5413</v>
      </c>
    </row>
    <row r="177" spans="1:21">
      <c r="A177" s="5">
        <f t="shared" si="18"/>
        <v>46198</v>
      </c>
      <c r="B177">
        <f>SUMIFS('Demand Projection'!$D$2:$D$169,'Demand Projection'!$B$2:$B$169,B$1,'Demand Projection'!$C$2:$C$169,$A177)</f>
        <v>0</v>
      </c>
      <c r="C177">
        <f>SUMIFS('Demand Projection'!$D$2:$D$169,'Demand Projection'!$B$2:$B$169,C$1,'Demand Projection'!$C$2:$C$169,$A177)</f>
        <v>0</v>
      </c>
      <c r="D177">
        <f>SUMIFS('Demand Projection'!$D$2:$D$169,'Demand Projection'!$B$2:$B$169,D$1,'Demand Projection'!$C$2:$C$169,$A177)</f>
        <v>0</v>
      </c>
      <c r="E177">
        <f>SUMIFS('Demand Projection'!$D$2:$D$169,'Demand Projection'!$B$2:$B$169,E$1,'Demand Projection'!$C$2:$C$169,$A177)</f>
        <v>0</v>
      </c>
      <c r="F177">
        <f>SUMIFS('Demand Projection'!$D$2:$D$169,'Demand Projection'!$B$2:$B$169,F$1,'Demand Projection'!$C$2:$C$169,$A177)</f>
        <v>0</v>
      </c>
      <c r="G177" cm="1">
        <f t="array" ref="G177">Q176+IF(ROW()-3&lt;2,0,INDEX(L:L,ROW()-3))</f>
        <v>3474</v>
      </c>
      <c r="H177" cm="1">
        <f t="array" ref="H177">R176+IF(ROW()-3&lt;2,0,INDEX(M:M,ROW()-3))</f>
        <v>2223</v>
      </c>
      <c r="I177" cm="1">
        <f t="array" ref="I177">S176+IF(ROW()-3&lt;2,0,INDEX(N:N,ROW()-3))</f>
        <v>1030</v>
      </c>
      <c r="J177" cm="1">
        <f t="array" ref="J177">T176+IF(ROW()-3&lt;2,0,INDEX(O:O,ROW()-3))</f>
        <v>8685</v>
      </c>
      <c r="K177" cm="1">
        <f t="array" ref="K177">U176+IF(ROW()-3&lt;2,0,INDEX(P:P,ROW()-3))</f>
        <v>5413</v>
      </c>
      <c r="L177">
        <f>IF(Q177&lt;_xlfn.XLOOKUP(L$1,Capacity!$D$3:$D$7,Capacity!$E$3:$E$7),_xlfn.XLOOKUP(L$1,Capacity!$D$3:$D$7,Capacity!$F$3:$F$7)-Q177,0)</f>
        <v>0</v>
      </c>
      <c r="M177">
        <f>IF(R177&lt;_xlfn.XLOOKUP(M$1,Capacity!$D$3:$D$7,Capacity!$E$3:$E$7),_xlfn.XLOOKUP(M$1,Capacity!$D$3:$D$7,Capacity!$F$3:$F$7)-R177,0)</f>
        <v>0</v>
      </c>
      <c r="N177">
        <f>IF(S177&lt;_xlfn.XLOOKUP(N$1,Capacity!$D$3:$D$7,Capacity!$E$3:$E$7),_xlfn.XLOOKUP(N$1,Capacity!$D$3:$D$7,Capacity!$F$3:$F$7)-S177,0)</f>
        <v>0</v>
      </c>
      <c r="O177">
        <f>IF(T177&lt;_xlfn.XLOOKUP(O$1,Capacity!$D$3:$D$7,Capacity!$E$3:$E$7),_xlfn.XLOOKUP(O$1,Capacity!$D$3:$D$7,Capacity!$F$3:$F$7)-T177,0)</f>
        <v>0</v>
      </c>
      <c r="P177">
        <f>IF(U177&lt;_xlfn.XLOOKUP(P$1,Capacity!$D$3:$D$7,Capacity!$E$3:$E$7),_xlfn.XLOOKUP(P$1,Capacity!$D$3:$D$7,Capacity!$F$3:$F$7)-U177,0)</f>
        <v>0</v>
      </c>
      <c r="Q177">
        <f t="shared" si="13"/>
        <v>3474</v>
      </c>
      <c r="R177">
        <f t="shared" si="14"/>
        <v>2223</v>
      </c>
      <c r="S177">
        <f t="shared" si="15"/>
        <v>1030</v>
      </c>
      <c r="T177">
        <f t="shared" si="16"/>
        <v>8685</v>
      </c>
      <c r="U177">
        <f t="shared" si="17"/>
        <v>5413</v>
      </c>
    </row>
    <row r="178" spans="1:21">
      <c r="A178" s="5">
        <f t="shared" si="18"/>
        <v>46199</v>
      </c>
      <c r="B178">
        <f>SUMIFS('Demand Projection'!$D$2:$D$169,'Demand Projection'!$B$2:$B$169,B$1,'Demand Projection'!$C$2:$C$169,$A178)</f>
        <v>0</v>
      </c>
      <c r="C178">
        <f>SUMIFS('Demand Projection'!$D$2:$D$169,'Demand Projection'!$B$2:$B$169,C$1,'Demand Projection'!$C$2:$C$169,$A178)</f>
        <v>0</v>
      </c>
      <c r="D178">
        <f>SUMIFS('Demand Projection'!$D$2:$D$169,'Demand Projection'!$B$2:$B$169,D$1,'Demand Projection'!$C$2:$C$169,$A178)</f>
        <v>0</v>
      </c>
      <c r="E178">
        <f>SUMIFS('Demand Projection'!$D$2:$D$169,'Demand Projection'!$B$2:$B$169,E$1,'Demand Projection'!$C$2:$C$169,$A178)</f>
        <v>0</v>
      </c>
      <c r="F178">
        <f>SUMIFS('Demand Projection'!$D$2:$D$169,'Demand Projection'!$B$2:$B$169,F$1,'Demand Projection'!$C$2:$C$169,$A178)</f>
        <v>0</v>
      </c>
      <c r="G178" cm="1">
        <f t="array" ref="G178">Q177+IF(ROW()-3&lt;2,0,INDEX(L:L,ROW()-3))</f>
        <v>3474</v>
      </c>
      <c r="H178" cm="1">
        <f t="array" ref="H178">R177+IF(ROW()-3&lt;2,0,INDEX(M:M,ROW()-3))</f>
        <v>2223</v>
      </c>
      <c r="I178" cm="1">
        <f t="array" ref="I178">S177+IF(ROW()-3&lt;2,0,INDEX(N:N,ROW()-3))</f>
        <v>1030</v>
      </c>
      <c r="J178" cm="1">
        <f t="array" ref="J178">T177+IF(ROW()-3&lt;2,0,INDEX(O:O,ROW()-3))</f>
        <v>8685</v>
      </c>
      <c r="K178" cm="1">
        <f t="array" ref="K178">U177+IF(ROW()-3&lt;2,0,INDEX(P:P,ROW()-3))</f>
        <v>5413</v>
      </c>
      <c r="L178">
        <f>IF(Q178&lt;_xlfn.XLOOKUP(L$1,Capacity!$D$3:$D$7,Capacity!$E$3:$E$7),_xlfn.XLOOKUP(L$1,Capacity!$D$3:$D$7,Capacity!$F$3:$F$7)-Q178,0)</f>
        <v>0</v>
      </c>
      <c r="M178">
        <f>IF(R178&lt;_xlfn.XLOOKUP(M$1,Capacity!$D$3:$D$7,Capacity!$E$3:$E$7),_xlfn.XLOOKUP(M$1,Capacity!$D$3:$D$7,Capacity!$F$3:$F$7)-R178,0)</f>
        <v>0</v>
      </c>
      <c r="N178">
        <f>IF(S178&lt;_xlfn.XLOOKUP(N$1,Capacity!$D$3:$D$7,Capacity!$E$3:$E$7),_xlfn.XLOOKUP(N$1,Capacity!$D$3:$D$7,Capacity!$F$3:$F$7)-S178,0)</f>
        <v>0</v>
      </c>
      <c r="O178">
        <f>IF(T178&lt;_xlfn.XLOOKUP(O$1,Capacity!$D$3:$D$7,Capacity!$E$3:$E$7),_xlfn.XLOOKUP(O$1,Capacity!$D$3:$D$7,Capacity!$F$3:$F$7)-T178,0)</f>
        <v>0</v>
      </c>
      <c r="P178">
        <f>IF(U178&lt;_xlfn.XLOOKUP(P$1,Capacity!$D$3:$D$7,Capacity!$E$3:$E$7),_xlfn.XLOOKUP(P$1,Capacity!$D$3:$D$7,Capacity!$F$3:$F$7)-U178,0)</f>
        <v>0</v>
      </c>
      <c r="Q178">
        <f t="shared" si="13"/>
        <v>3474</v>
      </c>
      <c r="R178">
        <f t="shared" si="14"/>
        <v>2223</v>
      </c>
      <c r="S178">
        <f t="shared" si="15"/>
        <v>1030</v>
      </c>
      <c r="T178">
        <f t="shared" si="16"/>
        <v>8685</v>
      </c>
      <c r="U178">
        <f t="shared" si="17"/>
        <v>5413</v>
      </c>
    </row>
    <row r="179" spans="1:21">
      <c r="A179" s="5">
        <f t="shared" si="18"/>
        <v>46200</v>
      </c>
      <c r="B179">
        <f>SUMIFS('Demand Projection'!$D$2:$D$169,'Demand Projection'!$B$2:$B$169,B$1,'Demand Projection'!$C$2:$C$169,$A179)</f>
        <v>0</v>
      </c>
      <c r="C179">
        <f>SUMIFS('Demand Projection'!$D$2:$D$169,'Demand Projection'!$B$2:$B$169,C$1,'Demand Projection'!$C$2:$C$169,$A179)</f>
        <v>0</v>
      </c>
      <c r="D179">
        <f>SUMIFS('Demand Projection'!$D$2:$D$169,'Demand Projection'!$B$2:$B$169,D$1,'Demand Projection'!$C$2:$C$169,$A179)</f>
        <v>0</v>
      </c>
      <c r="E179">
        <f>SUMIFS('Demand Projection'!$D$2:$D$169,'Demand Projection'!$B$2:$B$169,E$1,'Demand Projection'!$C$2:$C$169,$A179)</f>
        <v>0</v>
      </c>
      <c r="F179">
        <f>SUMIFS('Demand Projection'!$D$2:$D$169,'Demand Projection'!$B$2:$B$169,F$1,'Demand Projection'!$C$2:$C$169,$A179)</f>
        <v>0</v>
      </c>
      <c r="G179" cm="1">
        <f t="array" ref="G179">Q178+IF(ROW()-3&lt;2,0,INDEX(L:L,ROW()-3))</f>
        <v>3474</v>
      </c>
      <c r="H179" cm="1">
        <f t="array" ref="H179">R178+IF(ROW()-3&lt;2,0,INDEX(M:M,ROW()-3))</f>
        <v>2223</v>
      </c>
      <c r="I179" cm="1">
        <f t="array" ref="I179">S178+IF(ROW()-3&lt;2,0,INDEX(N:N,ROW()-3))</f>
        <v>1030</v>
      </c>
      <c r="J179" cm="1">
        <f t="array" ref="J179">T178+IF(ROW()-3&lt;2,0,INDEX(O:O,ROW()-3))</f>
        <v>8685</v>
      </c>
      <c r="K179" cm="1">
        <f t="array" ref="K179">U178+IF(ROW()-3&lt;2,0,INDEX(P:P,ROW()-3))</f>
        <v>5413</v>
      </c>
      <c r="L179">
        <f>IF(Q179&lt;_xlfn.XLOOKUP(L$1,Capacity!$D$3:$D$7,Capacity!$E$3:$E$7),_xlfn.XLOOKUP(L$1,Capacity!$D$3:$D$7,Capacity!$F$3:$F$7)-Q179,0)</f>
        <v>0</v>
      </c>
      <c r="M179">
        <f>IF(R179&lt;_xlfn.XLOOKUP(M$1,Capacity!$D$3:$D$7,Capacity!$E$3:$E$7),_xlfn.XLOOKUP(M$1,Capacity!$D$3:$D$7,Capacity!$F$3:$F$7)-R179,0)</f>
        <v>0</v>
      </c>
      <c r="N179">
        <f>IF(S179&lt;_xlfn.XLOOKUP(N$1,Capacity!$D$3:$D$7,Capacity!$E$3:$E$7),_xlfn.XLOOKUP(N$1,Capacity!$D$3:$D$7,Capacity!$F$3:$F$7)-S179,0)</f>
        <v>0</v>
      </c>
      <c r="O179">
        <f>IF(T179&lt;_xlfn.XLOOKUP(O$1,Capacity!$D$3:$D$7,Capacity!$E$3:$E$7),_xlfn.XLOOKUP(O$1,Capacity!$D$3:$D$7,Capacity!$F$3:$F$7)-T179,0)</f>
        <v>0</v>
      </c>
      <c r="P179">
        <f>IF(U179&lt;_xlfn.XLOOKUP(P$1,Capacity!$D$3:$D$7,Capacity!$E$3:$E$7),_xlfn.XLOOKUP(P$1,Capacity!$D$3:$D$7,Capacity!$F$3:$F$7)-U179,0)</f>
        <v>0</v>
      </c>
      <c r="Q179">
        <f t="shared" si="13"/>
        <v>3474</v>
      </c>
      <c r="R179">
        <f t="shared" si="14"/>
        <v>2223</v>
      </c>
      <c r="S179">
        <f t="shared" si="15"/>
        <v>1030</v>
      </c>
      <c r="T179">
        <f t="shared" si="16"/>
        <v>8685</v>
      </c>
      <c r="U179">
        <f t="shared" si="17"/>
        <v>5413</v>
      </c>
    </row>
    <row r="180" spans="1:21">
      <c r="A180" s="5">
        <f t="shared" si="18"/>
        <v>46201</v>
      </c>
      <c r="B180">
        <f>SUMIFS('Demand Projection'!$D$2:$D$169,'Demand Projection'!$B$2:$B$169,B$1,'Demand Projection'!$C$2:$C$169,$A180)</f>
        <v>0</v>
      </c>
      <c r="C180">
        <f>SUMIFS('Demand Projection'!$D$2:$D$169,'Demand Projection'!$B$2:$B$169,C$1,'Demand Projection'!$C$2:$C$169,$A180)</f>
        <v>0</v>
      </c>
      <c r="D180">
        <f>SUMIFS('Demand Projection'!$D$2:$D$169,'Demand Projection'!$B$2:$B$169,D$1,'Demand Projection'!$C$2:$C$169,$A180)</f>
        <v>0</v>
      </c>
      <c r="E180">
        <f>SUMIFS('Demand Projection'!$D$2:$D$169,'Demand Projection'!$B$2:$B$169,E$1,'Demand Projection'!$C$2:$C$169,$A180)</f>
        <v>3104</v>
      </c>
      <c r="F180">
        <f>SUMIFS('Demand Projection'!$D$2:$D$169,'Demand Projection'!$B$2:$B$169,F$1,'Demand Projection'!$C$2:$C$169,$A180)</f>
        <v>2070</v>
      </c>
      <c r="G180" cm="1">
        <f t="array" ref="G180">Q179+IF(ROW()-3&lt;2,0,INDEX(L:L,ROW()-3))</f>
        <v>3474</v>
      </c>
      <c r="H180" cm="1">
        <f t="array" ref="H180">R179+IF(ROW()-3&lt;2,0,INDEX(M:M,ROW()-3))</f>
        <v>2223</v>
      </c>
      <c r="I180" cm="1">
        <f t="array" ref="I180">S179+IF(ROW()-3&lt;2,0,INDEX(N:N,ROW()-3))</f>
        <v>1030</v>
      </c>
      <c r="J180" cm="1">
        <f t="array" ref="J180">T179+IF(ROW()-3&lt;2,0,INDEX(O:O,ROW()-3))</f>
        <v>8685</v>
      </c>
      <c r="K180" cm="1">
        <f t="array" ref="K180">U179+IF(ROW()-3&lt;2,0,INDEX(P:P,ROW()-3))</f>
        <v>5413</v>
      </c>
      <c r="L180">
        <f>IF(Q180&lt;_xlfn.XLOOKUP(L$1,Capacity!$D$3:$D$7,Capacity!$E$3:$E$7),_xlfn.XLOOKUP(L$1,Capacity!$D$3:$D$7,Capacity!$F$3:$F$7)-Q180,0)</f>
        <v>0</v>
      </c>
      <c r="M180">
        <f>IF(R180&lt;_xlfn.XLOOKUP(M$1,Capacity!$D$3:$D$7,Capacity!$E$3:$E$7),_xlfn.XLOOKUP(M$1,Capacity!$D$3:$D$7,Capacity!$F$3:$F$7)-R180,0)</f>
        <v>0</v>
      </c>
      <c r="N180">
        <f>IF(S180&lt;_xlfn.XLOOKUP(N$1,Capacity!$D$3:$D$7,Capacity!$E$3:$E$7),_xlfn.XLOOKUP(N$1,Capacity!$D$3:$D$7,Capacity!$F$3:$F$7)-S180,0)</f>
        <v>0</v>
      </c>
      <c r="O180">
        <f>IF(T180&lt;_xlfn.XLOOKUP(O$1,Capacity!$D$3:$D$7,Capacity!$E$3:$E$7),_xlfn.XLOOKUP(O$1,Capacity!$D$3:$D$7,Capacity!$F$3:$F$7)-T180,0)</f>
        <v>0</v>
      </c>
      <c r="P180">
        <f>IF(U180&lt;_xlfn.XLOOKUP(P$1,Capacity!$D$3:$D$7,Capacity!$E$3:$E$7),_xlfn.XLOOKUP(P$1,Capacity!$D$3:$D$7,Capacity!$F$3:$F$7)-U180,0)</f>
        <v>0</v>
      </c>
      <c r="Q180">
        <f t="shared" si="13"/>
        <v>3474</v>
      </c>
      <c r="R180">
        <f t="shared" si="14"/>
        <v>2223</v>
      </c>
      <c r="S180">
        <f t="shared" si="15"/>
        <v>1030</v>
      </c>
      <c r="T180">
        <f t="shared" si="16"/>
        <v>5581</v>
      </c>
      <c r="U180">
        <f t="shared" si="17"/>
        <v>3343</v>
      </c>
    </row>
    <row r="181" spans="1:21">
      <c r="A181" s="5">
        <f t="shared" si="18"/>
        <v>46202</v>
      </c>
      <c r="B181">
        <f>SUMIFS('Demand Projection'!$D$2:$D$169,'Demand Projection'!$B$2:$B$169,B$1,'Demand Projection'!$C$2:$C$169,$A181)</f>
        <v>0</v>
      </c>
      <c r="C181">
        <f>SUMIFS('Demand Projection'!$D$2:$D$169,'Demand Projection'!$B$2:$B$169,C$1,'Demand Projection'!$C$2:$C$169,$A181)</f>
        <v>0</v>
      </c>
      <c r="D181">
        <f>SUMIFS('Demand Projection'!$D$2:$D$169,'Demand Projection'!$B$2:$B$169,D$1,'Demand Projection'!$C$2:$C$169,$A181)</f>
        <v>0</v>
      </c>
      <c r="E181">
        <f>SUMIFS('Demand Projection'!$D$2:$D$169,'Demand Projection'!$B$2:$B$169,E$1,'Demand Projection'!$C$2:$C$169,$A181)</f>
        <v>0</v>
      </c>
      <c r="F181">
        <f>SUMIFS('Demand Projection'!$D$2:$D$169,'Demand Projection'!$B$2:$B$169,F$1,'Demand Projection'!$C$2:$C$169,$A181)</f>
        <v>0</v>
      </c>
      <c r="G181" cm="1">
        <f t="array" ref="G181">Q180+IF(ROW()-3&lt;2,0,INDEX(L:L,ROW()-3))</f>
        <v>3474</v>
      </c>
      <c r="H181" cm="1">
        <f t="array" ref="H181">R180+IF(ROW()-3&lt;2,0,INDEX(M:M,ROW()-3))</f>
        <v>2223</v>
      </c>
      <c r="I181" cm="1">
        <f t="array" ref="I181">S180+IF(ROW()-3&lt;2,0,INDEX(N:N,ROW()-3))</f>
        <v>1030</v>
      </c>
      <c r="J181" cm="1">
        <f t="array" ref="J181">T180+IF(ROW()-3&lt;2,0,INDEX(O:O,ROW()-3))</f>
        <v>5581</v>
      </c>
      <c r="K181" cm="1">
        <f t="array" ref="K181">U180+IF(ROW()-3&lt;2,0,INDEX(P:P,ROW()-3))</f>
        <v>3343</v>
      </c>
      <c r="L181">
        <f>IF(Q181&lt;_xlfn.XLOOKUP(L$1,Capacity!$D$3:$D$7,Capacity!$E$3:$E$7),_xlfn.XLOOKUP(L$1,Capacity!$D$3:$D$7,Capacity!$F$3:$F$7)-Q181,0)</f>
        <v>0</v>
      </c>
      <c r="M181">
        <f>IF(R181&lt;_xlfn.XLOOKUP(M$1,Capacity!$D$3:$D$7,Capacity!$E$3:$E$7),_xlfn.XLOOKUP(M$1,Capacity!$D$3:$D$7,Capacity!$F$3:$F$7)-R181,0)</f>
        <v>0</v>
      </c>
      <c r="N181">
        <f>IF(S181&lt;_xlfn.XLOOKUP(N$1,Capacity!$D$3:$D$7,Capacity!$E$3:$E$7),_xlfn.XLOOKUP(N$1,Capacity!$D$3:$D$7,Capacity!$F$3:$F$7)-S181,0)</f>
        <v>0</v>
      </c>
      <c r="O181">
        <f>IF(T181&lt;_xlfn.XLOOKUP(O$1,Capacity!$D$3:$D$7,Capacity!$E$3:$E$7),_xlfn.XLOOKUP(O$1,Capacity!$D$3:$D$7,Capacity!$F$3:$F$7)-T181,0)</f>
        <v>0</v>
      </c>
      <c r="P181">
        <f>IF(U181&lt;_xlfn.XLOOKUP(P$1,Capacity!$D$3:$D$7,Capacity!$E$3:$E$7),_xlfn.XLOOKUP(P$1,Capacity!$D$3:$D$7,Capacity!$F$3:$F$7)-U181,0)</f>
        <v>0</v>
      </c>
      <c r="Q181">
        <f t="shared" si="13"/>
        <v>3474</v>
      </c>
      <c r="R181">
        <f t="shared" si="14"/>
        <v>2223</v>
      </c>
      <c r="S181">
        <f t="shared" si="15"/>
        <v>1030</v>
      </c>
      <c r="T181">
        <f t="shared" si="16"/>
        <v>5581</v>
      </c>
      <c r="U181">
        <f t="shared" si="17"/>
        <v>3343</v>
      </c>
    </row>
    <row r="182" spans="1:21">
      <c r="A182" s="5">
        <f t="shared" si="18"/>
        <v>46203</v>
      </c>
      <c r="B182">
        <f>SUMIFS('Demand Projection'!$D$2:$D$169,'Demand Projection'!$B$2:$B$169,B$1,'Demand Projection'!$C$2:$C$169,$A182)</f>
        <v>0</v>
      </c>
      <c r="C182">
        <f>SUMIFS('Demand Projection'!$D$2:$D$169,'Demand Projection'!$B$2:$B$169,C$1,'Demand Projection'!$C$2:$C$169,$A182)</f>
        <v>0</v>
      </c>
      <c r="D182">
        <f>SUMIFS('Demand Projection'!$D$2:$D$169,'Demand Projection'!$B$2:$B$169,D$1,'Demand Projection'!$C$2:$C$169,$A182)</f>
        <v>0</v>
      </c>
      <c r="E182">
        <f>SUMIFS('Demand Projection'!$D$2:$D$169,'Demand Projection'!$B$2:$B$169,E$1,'Demand Projection'!$C$2:$C$169,$A182)</f>
        <v>0</v>
      </c>
      <c r="F182">
        <f>SUMIFS('Demand Projection'!$D$2:$D$169,'Demand Projection'!$B$2:$B$169,F$1,'Demand Projection'!$C$2:$C$169,$A182)</f>
        <v>0</v>
      </c>
      <c r="G182" cm="1">
        <f t="array" ref="G182">Q181+IF(ROW()-3&lt;2,0,INDEX(L:L,ROW()-3))</f>
        <v>3474</v>
      </c>
      <c r="H182" cm="1">
        <f t="array" ref="H182">R181+IF(ROW()-3&lt;2,0,INDEX(M:M,ROW()-3))</f>
        <v>2223</v>
      </c>
      <c r="I182" cm="1">
        <f t="array" ref="I182">S181+IF(ROW()-3&lt;2,0,INDEX(N:N,ROW()-3))</f>
        <v>1030</v>
      </c>
      <c r="J182" cm="1">
        <f t="array" ref="J182">T181+IF(ROW()-3&lt;2,0,INDEX(O:O,ROW()-3))</f>
        <v>5581</v>
      </c>
      <c r="K182" cm="1">
        <f t="array" ref="K182">U181+IF(ROW()-3&lt;2,0,INDEX(P:P,ROW()-3))</f>
        <v>3343</v>
      </c>
      <c r="L182">
        <f>IF(Q182&lt;_xlfn.XLOOKUP(L$1,Capacity!$D$3:$D$7,Capacity!$E$3:$E$7),_xlfn.XLOOKUP(L$1,Capacity!$D$3:$D$7,Capacity!$F$3:$F$7)-Q182,0)</f>
        <v>0</v>
      </c>
      <c r="M182">
        <f>IF(R182&lt;_xlfn.XLOOKUP(M$1,Capacity!$D$3:$D$7,Capacity!$E$3:$E$7),_xlfn.XLOOKUP(M$1,Capacity!$D$3:$D$7,Capacity!$F$3:$F$7)-R182,0)</f>
        <v>0</v>
      </c>
      <c r="N182">
        <f>IF(S182&lt;_xlfn.XLOOKUP(N$1,Capacity!$D$3:$D$7,Capacity!$E$3:$E$7),_xlfn.XLOOKUP(N$1,Capacity!$D$3:$D$7,Capacity!$F$3:$F$7)-S182,0)</f>
        <v>0</v>
      </c>
      <c r="O182">
        <f>IF(T182&lt;_xlfn.XLOOKUP(O$1,Capacity!$D$3:$D$7,Capacity!$E$3:$E$7),_xlfn.XLOOKUP(O$1,Capacity!$D$3:$D$7,Capacity!$F$3:$F$7)-T182,0)</f>
        <v>0</v>
      </c>
      <c r="P182">
        <f>IF(U182&lt;_xlfn.XLOOKUP(P$1,Capacity!$D$3:$D$7,Capacity!$E$3:$E$7),_xlfn.XLOOKUP(P$1,Capacity!$D$3:$D$7,Capacity!$F$3:$F$7)-U182,0)</f>
        <v>0</v>
      </c>
      <c r="Q182">
        <f t="shared" si="13"/>
        <v>3474</v>
      </c>
      <c r="R182">
        <f t="shared" si="14"/>
        <v>2223</v>
      </c>
      <c r="S182">
        <f t="shared" si="15"/>
        <v>1030</v>
      </c>
      <c r="T182">
        <f t="shared" si="16"/>
        <v>5581</v>
      </c>
      <c r="U182">
        <f t="shared" si="17"/>
        <v>3343</v>
      </c>
    </row>
    <row r="183" spans="1:21">
      <c r="A183" s="5">
        <f t="shared" si="18"/>
        <v>46204</v>
      </c>
      <c r="B183">
        <f>SUMIFS('Demand Projection'!$D$2:$D$169,'Demand Projection'!$B$2:$B$169,B$1,'Demand Projection'!$C$2:$C$169,$A183)</f>
        <v>0</v>
      </c>
      <c r="C183">
        <f>SUMIFS('Demand Projection'!$D$2:$D$169,'Demand Projection'!$B$2:$B$169,C$1,'Demand Projection'!$C$2:$C$169,$A183)</f>
        <v>0</v>
      </c>
      <c r="D183">
        <f>SUMIFS('Demand Projection'!$D$2:$D$169,'Demand Projection'!$B$2:$B$169,D$1,'Demand Projection'!$C$2:$C$169,$A183)</f>
        <v>0</v>
      </c>
      <c r="E183">
        <f>SUMIFS('Demand Projection'!$D$2:$D$169,'Demand Projection'!$B$2:$B$169,E$1,'Demand Projection'!$C$2:$C$169,$A183)</f>
        <v>0</v>
      </c>
      <c r="F183">
        <f>SUMIFS('Demand Projection'!$D$2:$D$169,'Demand Projection'!$B$2:$B$169,F$1,'Demand Projection'!$C$2:$C$169,$A183)</f>
        <v>0</v>
      </c>
      <c r="G183" cm="1">
        <f t="array" ref="G183">Q182+IF(ROW()-3&lt;2,0,INDEX(L:L,ROW()-3))</f>
        <v>3474</v>
      </c>
      <c r="H183" cm="1">
        <f t="array" ref="H183">R182+IF(ROW()-3&lt;2,0,INDEX(M:M,ROW()-3))</f>
        <v>2223</v>
      </c>
      <c r="I183" cm="1">
        <f t="array" ref="I183">S182+IF(ROW()-3&lt;2,0,INDEX(N:N,ROW()-3))</f>
        <v>1030</v>
      </c>
      <c r="J183" cm="1">
        <f t="array" ref="J183">T182+IF(ROW()-3&lt;2,0,INDEX(O:O,ROW()-3))</f>
        <v>5581</v>
      </c>
      <c r="K183" cm="1">
        <f t="array" ref="K183">U182+IF(ROW()-3&lt;2,0,INDEX(P:P,ROW()-3))</f>
        <v>3343</v>
      </c>
      <c r="L183">
        <f>IF(Q183&lt;_xlfn.XLOOKUP(L$1,Capacity!$D$3:$D$7,Capacity!$E$3:$E$7),_xlfn.XLOOKUP(L$1,Capacity!$D$3:$D$7,Capacity!$F$3:$F$7)-Q183,0)</f>
        <v>0</v>
      </c>
      <c r="M183">
        <f>IF(R183&lt;_xlfn.XLOOKUP(M$1,Capacity!$D$3:$D$7,Capacity!$E$3:$E$7),_xlfn.XLOOKUP(M$1,Capacity!$D$3:$D$7,Capacity!$F$3:$F$7)-R183,0)</f>
        <v>0</v>
      </c>
      <c r="N183">
        <f>IF(S183&lt;_xlfn.XLOOKUP(N$1,Capacity!$D$3:$D$7,Capacity!$E$3:$E$7),_xlfn.XLOOKUP(N$1,Capacity!$D$3:$D$7,Capacity!$F$3:$F$7)-S183,0)</f>
        <v>0</v>
      </c>
      <c r="O183">
        <f>IF(T183&lt;_xlfn.XLOOKUP(O$1,Capacity!$D$3:$D$7,Capacity!$E$3:$E$7),_xlfn.XLOOKUP(O$1,Capacity!$D$3:$D$7,Capacity!$F$3:$F$7)-T183,0)</f>
        <v>0</v>
      </c>
      <c r="P183">
        <f>IF(U183&lt;_xlfn.XLOOKUP(P$1,Capacity!$D$3:$D$7,Capacity!$E$3:$E$7),_xlfn.XLOOKUP(P$1,Capacity!$D$3:$D$7,Capacity!$F$3:$F$7)-U183,0)</f>
        <v>0</v>
      </c>
      <c r="Q183">
        <f t="shared" si="13"/>
        <v>3474</v>
      </c>
      <c r="R183">
        <f t="shared" si="14"/>
        <v>2223</v>
      </c>
      <c r="S183">
        <f t="shared" si="15"/>
        <v>1030</v>
      </c>
      <c r="T183">
        <f t="shared" si="16"/>
        <v>5581</v>
      </c>
      <c r="U183">
        <f t="shared" si="17"/>
        <v>3343</v>
      </c>
    </row>
    <row r="184" spans="1:21">
      <c r="A184" s="5">
        <f t="shared" si="18"/>
        <v>46205</v>
      </c>
      <c r="B184">
        <f>SUMIFS('Demand Projection'!$D$2:$D$169,'Demand Projection'!$B$2:$B$169,B$1,'Demand Projection'!$C$2:$C$169,$A184)</f>
        <v>0</v>
      </c>
      <c r="C184">
        <f>SUMIFS('Demand Projection'!$D$2:$D$169,'Demand Projection'!$B$2:$B$169,C$1,'Demand Projection'!$C$2:$C$169,$A184)</f>
        <v>0</v>
      </c>
      <c r="D184">
        <f>SUMIFS('Demand Projection'!$D$2:$D$169,'Demand Projection'!$B$2:$B$169,D$1,'Demand Projection'!$C$2:$C$169,$A184)</f>
        <v>0</v>
      </c>
      <c r="E184">
        <f>SUMIFS('Demand Projection'!$D$2:$D$169,'Demand Projection'!$B$2:$B$169,E$1,'Demand Projection'!$C$2:$C$169,$A184)</f>
        <v>0</v>
      </c>
      <c r="F184">
        <f>SUMIFS('Demand Projection'!$D$2:$D$169,'Demand Projection'!$B$2:$B$169,F$1,'Demand Projection'!$C$2:$C$169,$A184)</f>
        <v>0</v>
      </c>
      <c r="G184" cm="1">
        <f t="array" ref="G184">Q183+IF(ROW()-3&lt;2,0,INDEX(L:L,ROW()-3))</f>
        <v>3474</v>
      </c>
      <c r="H184" cm="1">
        <f t="array" ref="H184">R183+IF(ROW()-3&lt;2,0,INDEX(M:M,ROW()-3))</f>
        <v>2223</v>
      </c>
      <c r="I184" cm="1">
        <f t="array" ref="I184">S183+IF(ROW()-3&lt;2,0,INDEX(N:N,ROW()-3))</f>
        <v>1030</v>
      </c>
      <c r="J184" cm="1">
        <f t="array" ref="J184">T183+IF(ROW()-3&lt;2,0,INDEX(O:O,ROW()-3))</f>
        <v>5581</v>
      </c>
      <c r="K184" cm="1">
        <f t="array" ref="K184">U183+IF(ROW()-3&lt;2,0,INDEX(P:P,ROW()-3))</f>
        <v>3343</v>
      </c>
      <c r="L184">
        <f>IF(Q184&lt;_xlfn.XLOOKUP(L$1,Capacity!$D$3:$D$7,Capacity!$E$3:$E$7),_xlfn.XLOOKUP(L$1,Capacity!$D$3:$D$7,Capacity!$F$3:$F$7)-Q184,0)</f>
        <v>0</v>
      </c>
      <c r="M184">
        <f>IF(R184&lt;_xlfn.XLOOKUP(M$1,Capacity!$D$3:$D$7,Capacity!$E$3:$E$7),_xlfn.XLOOKUP(M$1,Capacity!$D$3:$D$7,Capacity!$F$3:$F$7)-R184,0)</f>
        <v>0</v>
      </c>
      <c r="N184">
        <f>IF(S184&lt;_xlfn.XLOOKUP(N$1,Capacity!$D$3:$D$7,Capacity!$E$3:$E$7),_xlfn.XLOOKUP(N$1,Capacity!$D$3:$D$7,Capacity!$F$3:$F$7)-S184,0)</f>
        <v>0</v>
      </c>
      <c r="O184">
        <f>IF(T184&lt;_xlfn.XLOOKUP(O$1,Capacity!$D$3:$D$7,Capacity!$E$3:$E$7),_xlfn.XLOOKUP(O$1,Capacity!$D$3:$D$7,Capacity!$F$3:$F$7)-T184,0)</f>
        <v>0</v>
      </c>
      <c r="P184">
        <f>IF(U184&lt;_xlfn.XLOOKUP(P$1,Capacity!$D$3:$D$7,Capacity!$E$3:$E$7),_xlfn.XLOOKUP(P$1,Capacity!$D$3:$D$7,Capacity!$F$3:$F$7)-U184,0)</f>
        <v>0</v>
      </c>
      <c r="Q184">
        <f t="shared" si="13"/>
        <v>3474</v>
      </c>
      <c r="R184">
        <f t="shared" si="14"/>
        <v>2223</v>
      </c>
      <c r="S184">
        <f t="shared" si="15"/>
        <v>1030</v>
      </c>
      <c r="T184">
        <f t="shared" si="16"/>
        <v>5581</v>
      </c>
      <c r="U184">
        <f t="shared" si="17"/>
        <v>3343</v>
      </c>
    </row>
    <row r="185" spans="1:21">
      <c r="A185" s="5">
        <f t="shared" si="18"/>
        <v>46206</v>
      </c>
      <c r="B185">
        <f>SUMIFS('Demand Projection'!$D$2:$D$169,'Demand Projection'!$B$2:$B$169,B$1,'Demand Projection'!$C$2:$C$169,$A185)</f>
        <v>1096</v>
      </c>
      <c r="C185">
        <f>SUMIFS('Demand Projection'!$D$2:$D$169,'Demand Projection'!$B$2:$B$169,C$1,'Demand Projection'!$C$2:$C$169,$A185)</f>
        <v>6570</v>
      </c>
      <c r="D185">
        <f>SUMIFS('Demand Projection'!$D$2:$D$169,'Demand Projection'!$B$2:$B$169,D$1,'Demand Projection'!$C$2:$C$169,$A185)</f>
        <v>0</v>
      </c>
      <c r="E185">
        <f>SUMIFS('Demand Projection'!$D$2:$D$169,'Demand Projection'!$B$2:$B$169,E$1,'Demand Projection'!$C$2:$C$169,$A185)</f>
        <v>0</v>
      </c>
      <c r="F185">
        <f>SUMIFS('Demand Projection'!$D$2:$D$169,'Demand Projection'!$B$2:$B$169,F$1,'Demand Projection'!$C$2:$C$169,$A185)</f>
        <v>0</v>
      </c>
      <c r="G185" cm="1">
        <f t="array" ref="G185">Q184+IF(ROW()-3&lt;2,0,INDEX(L:L,ROW()-3))</f>
        <v>3474</v>
      </c>
      <c r="H185" cm="1">
        <f t="array" ref="H185">R184+IF(ROW()-3&lt;2,0,INDEX(M:M,ROW()-3))</f>
        <v>2223</v>
      </c>
      <c r="I185" cm="1">
        <f t="array" ref="I185">S184+IF(ROW()-3&lt;2,0,INDEX(N:N,ROW()-3))</f>
        <v>1030</v>
      </c>
      <c r="J185" cm="1">
        <f t="array" ref="J185">T184+IF(ROW()-3&lt;2,0,INDEX(O:O,ROW()-3))</f>
        <v>5581</v>
      </c>
      <c r="K185" cm="1">
        <f t="array" ref="K185">U184+IF(ROW()-3&lt;2,0,INDEX(P:P,ROW()-3))</f>
        <v>3343</v>
      </c>
      <c r="L185">
        <f>IF(Q185&lt;_xlfn.XLOOKUP(L$1,Capacity!$D$3:$D$7,Capacity!$E$3:$E$7),_xlfn.XLOOKUP(L$1,Capacity!$D$3:$D$7,Capacity!$F$3:$F$7)-Q185,0)</f>
        <v>0</v>
      </c>
      <c r="M185">
        <f>IF(R185&lt;_xlfn.XLOOKUP(M$1,Capacity!$D$3:$D$7,Capacity!$E$3:$E$7),_xlfn.XLOOKUP(M$1,Capacity!$D$3:$D$7,Capacity!$F$3:$F$7)-R185,0)</f>
        <v>10917</v>
      </c>
      <c r="N185">
        <f>IF(S185&lt;_xlfn.XLOOKUP(N$1,Capacity!$D$3:$D$7,Capacity!$E$3:$E$7),_xlfn.XLOOKUP(N$1,Capacity!$D$3:$D$7,Capacity!$F$3:$F$7)-S185,0)</f>
        <v>0</v>
      </c>
      <c r="O185">
        <f>IF(T185&lt;_xlfn.XLOOKUP(O$1,Capacity!$D$3:$D$7,Capacity!$E$3:$E$7),_xlfn.XLOOKUP(O$1,Capacity!$D$3:$D$7,Capacity!$F$3:$F$7)-T185,0)</f>
        <v>0</v>
      </c>
      <c r="P185">
        <f>IF(U185&lt;_xlfn.XLOOKUP(P$1,Capacity!$D$3:$D$7,Capacity!$E$3:$E$7),_xlfn.XLOOKUP(P$1,Capacity!$D$3:$D$7,Capacity!$F$3:$F$7)-U185,0)</f>
        <v>0</v>
      </c>
      <c r="Q185">
        <f t="shared" si="13"/>
        <v>2378</v>
      </c>
      <c r="R185">
        <f t="shared" si="14"/>
        <v>-4347</v>
      </c>
      <c r="S185">
        <f t="shared" si="15"/>
        <v>1030</v>
      </c>
      <c r="T185">
        <f t="shared" si="16"/>
        <v>5581</v>
      </c>
      <c r="U185">
        <f t="shared" si="17"/>
        <v>3343</v>
      </c>
    </row>
    <row r="186" spans="1:21">
      <c r="A186" s="5">
        <f t="shared" si="18"/>
        <v>46207</v>
      </c>
      <c r="B186">
        <f>SUMIFS('Demand Projection'!$D$2:$D$169,'Demand Projection'!$B$2:$B$169,B$1,'Demand Projection'!$C$2:$C$169,$A186)</f>
        <v>440</v>
      </c>
      <c r="C186">
        <f>SUMIFS('Demand Projection'!$D$2:$D$169,'Demand Projection'!$B$2:$B$169,C$1,'Demand Projection'!$C$2:$C$169,$A186)</f>
        <v>0</v>
      </c>
      <c r="D186">
        <f>SUMIFS('Demand Projection'!$D$2:$D$169,'Demand Projection'!$B$2:$B$169,D$1,'Demand Projection'!$C$2:$C$169,$A186)</f>
        <v>0</v>
      </c>
      <c r="E186">
        <f>SUMIFS('Demand Projection'!$D$2:$D$169,'Demand Projection'!$B$2:$B$169,E$1,'Demand Projection'!$C$2:$C$169,$A186)</f>
        <v>0</v>
      </c>
      <c r="F186">
        <f>SUMIFS('Demand Projection'!$D$2:$D$169,'Demand Projection'!$B$2:$B$169,F$1,'Demand Projection'!$C$2:$C$169,$A186)</f>
        <v>0</v>
      </c>
      <c r="G186" cm="1">
        <f t="array" ref="G186">Q185+IF(ROW()-3&lt;2,0,INDEX(L:L,ROW()-3))</f>
        <v>2378</v>
      </c>
      <c r="H186" cm="1">
        <f t="array" ref="H186">R185+IF(ROW()-3&lt;2,0,INDEX(M:M,ROW()-3))</f>
        <v>-4347</v>
      </c>
      <c r="I186" cm="1">
        <f t="array" ref="I186">S185+IF(ROW()-3&lt;2,0,INDEX(N:N,ROW()-3))</f>
        <v>1030</v>
      </c>
      <c r="J186" cm="1">
        <f t="array" ref="J186">T185+IF(ROW()-3&lt;2,0,INDEX(O:O,ROW()-3))</f>
        <v>5581</v>
      </c>
      <c r="K186" cm="1">
        <f t="array" ref="K186">U185+IF(ROW()-3&lt;2,0,INDEX(P:P,ROW()-3))</f>
        <v>3343</v>
      </c>
      <c r="L186">
        <f>IF(Q186&lt;_xlfn.XLOOKUP(L$1,Capacity!$D$3:$D$7,Capacity!$E$3:$E$7),_xlfn.XLOOKUP(L$1,Capacity!$D$3:$D$7,Capacity!$F$3:$F$7)-Q186,0)</f>
        <v>0</v>
      </c>
      <c r="M186">
        <f>IF(R186&lt;_xlfn.XLOOKUP(M$1,Capacity!$D$3:$D$7,Capacity!$E$3:$E$7),_xlfn.XLOOKUP(M$1,Capacity!$D$3:$D$7,Capacity!$F$3:$F$7)-R186,0)</f>
        <v>10917</v>
      </c>
      <c r="N186">
        <f>IF(S186&lt;_xlfn.XLOOKUP(N$1,Capacity!$D$3:$D$7,Capacity!$E$3:$E$7),_xlfn.XLOOKUP(N$1,Capacity!$D$3:$D$7,Capacity!$F$3:$F$7)-S186,0)</f>
        <v>0</v>
      </c>
      <c r="O186">
        <f>IF(T186&lt;_xlfn.XLOOKUP(O$1,Capacity!$D$3:$D$7,Capacity!$E$3:$E$7),_xlfn.XLOOKUP(O$1,Capacity!$D$3:$D$7,Capacity!$F$3:$F$7)-T186,0)</f>
        <v>0</v>
      </c>
      <c r="P186">
        <f>IF(U186&lt;_xlfn.XLOOKUP(P$1,Capacity!$D$3:$D$7,Capacity!$E$3:$E$7),_xlfn.XLOOKUP(P$1,Capacity!$D$3:$D$7,Capacity!$F$3:$F$7)-U186,0)</f>
        <v>0</v>
      </c>
      <c r="Q186">
        <f t="shared" si="13"/>
        <v>1938</v>
      </c>
      <c r="R186">
        <f t="shared" si="14"/>
        <v>-4347</v>
      </c>
      <c r="S186">
        <f t="shared" si="15"/>
        <v>1030</v>
      </c>
      <c r="T186">
        <f t="shared" si="16"/>
        <v>5581</v>
      </c>
      <c r="U186">
        <f t="shared" si="17"/>
        <v>3343</v>
      </c>
    </row>
    <row r="187" spans="1:21">
      <c r="A187" s="5">
        <f t="shared" si="18"/>
        <v>46208</v>
      </c>
      <c r="B187">
        <f>SUMIFS('Demand Projection'!$D$2:$D$169,'Demand Projection'!$B$2:$B$169,B$1,'Demand Projection'!$C$2:$C$169,$A187)</f>
        <v>0</v>
      </c>
      <c r="C187">
        <f>SUMIFS('Demand Projection'!$D$2:$D$169,'Demand Projection'!$B$2:$B$169,C$1,'Demand Projection'!$C$2:$C$169,$A187)</f>
        <v>0</v>
      </c>
      <c r="D187">
        <f>SUMIFS('Demand Projection'!$D$2:$D$169,'Demand Projection'!$B$2:$B$169,D$1,'Demand Projection'!$C$2:$C$169,$A187)</f>
        <v>988</v>
      </c>
      <c r="E187">
        <f>SUMIFS('Demand Projection'!$D$2:$D$169,'Demand Projection'!$B$2:$B$169,E$1,'Demand Projection'!$C$2:$C$169,$A187)</f>
        <v>0</v>
      </c>
      <c r="F187">
        <f>SUMIFS('Demand Projection'!$D$2:$D$169,'Demand Projection'!$B$2:$B$169,F$1,'Demand Projection'!$C$2:$C$169,$A187)</f>
        <v>0</v>
      </c>
      <c r="G187" cm="1">
        <f t="array" ref="G187">Q186+IF(ROW()-3&lt;2,0,INDEX(L:L,ROW()-3))</f>
        <v>1938</v>
      </c>
      <c r="H187" cm="1">
        <f t="array" ref="H187">R186+IF(ROW()-3&lt;2,0,INDEX(M:M,ROW()-3))</f>
        <v>-4347</v>
      </c>
      <c r="I187" cm="1">
        <f t="array" ref="I187">S186+IF(ROW()-3&lt;2,0,INDEX(N:N,ROW()-3))</f>
        <v>1030</v>
      </c>
      <c r="J187" cm="1">
        <f t="array" ref="J187">T186+IF(ROW()-3&lt;2,0,INDEX(O:O,ROW()-3))</f>
        <v>5581</v>
      </c>
      <c r="K187" cm="1">
        <f t="array" ref="K187">U186+IF(ROW()-3&lt;2,0,INDEX(P:P,ROW()-3))</f>
        <v>3343</v>
      </c>
      <c r="L187">
        <f>IF(Q187&lt;_xlfn.XLOOKUP(L$1,Capacity!$D$3:$D$7,Capacity!$E$3:$E$7),_xlfn.XLOOKUP(L$1,Capacity!$D$3:$D$7,Capacity!$F$3:$F$7)-Q187,0)</f>
        <v>0</v>
      </c>
      <c r="M187">
        <f>IF(R187&lt;_xlfn.XLOOKUP(M$1,Capacity!$D$3:$D$7,Capacity!$E$3:$E$7),_xlfn.XLOOKUP(M$1,Capacity!$D$3:$D$7,Capacity!$F$3:$F$7)-R187,0)</f>
        <v>10917</v>
      </c>
      <c r="N187">
        <f>IF(S187&lt;_xlfn.XLOOKUP(N$1,Capacity!$D$3:$D$7,Capacity!$E$3:$E$7),_xlfn.XLOOKUP(N$1,Capacity!$D$3:$D$7,Capacity!$F$3:$F$7)-S187,0)</f>
        <v>1495</v>
      </c>
      <c r="O187">
        <f>IF(T187&lt;_xlfn.XLOOKUP(O$1,Capacity!$D$3:$D$7,Capacity!$E$3:$E$7),_xlfn.XLOOKUP(O$1,Capacity!$D$3:$D$7,Capacity!$F$3:$F$7)-T187,0)</f>
        <v>0</v>
      </c>
      <c r="P187">
        <f>IF(U187&lt;_xlfn.XLOOKUP(P$1,Capacity!$D$3:$D$7,Capacity!$E$3:$E$7),_xlfn.XLOOKUP(P$1,Capacity!$D$3:$D$7,Capacity!$F$3:$F$7)-U187,0)</f>
        <v>0</v>
      </c>
      <c r="Q187">
        <f t="shared" si="13"/>
        <v>1938</v>
      </c>
      <c r="R187">
        <f t="shared" si="14"/>
        <v>-4347</v>
      </c>
      <c r="S187">
        <f t="shared" si="15"/>
        <v>42</v>
      </c>
      <c r="T187">
        <f t="shared" si="16"/>
        <v>5581</v>
      </c>
      <c r="U187">
        <f t="shared" si="17"/>
        <v>3343</v>
      </c>
    </row>
    <row r="188" spans="1:21">
      <c r="A188" s="5">
        <f t="shared" si="18"/>
        <v>46209</v>
      </c>
      <c r="B188">
        <f>SUMIFS('Demand Projection'!$D$2:$D$169,'Demand Projection'!$B$2:$B$169,B$1,'Demand Projection'!$C$2:$C$169,$A188)</f>
        <v>0</v>
      </c>
      <c r="C188">
        <f>SUMIFS('Demand Projection'!$D$2:$D$169,'Demand Projection'!$B$2:$B$169,C$1,'Demand Projection'!$C$2:$C$169,$A188)</f>
        <v>0</v>
      </c>
      <c r="D188">
        <f>SUMIFS('Demand Projection'!$D$2:$D$169,'Demand Projection'!$B$2:$B$169,D$1,'Demand Projection'!$C$2:$C$169,$A188)</f>
        <v>0</v>
      </c>
      <c r="E188">
        <f>SUMIFS('Demand Projection'!$D$2:$D$169,'Demand Projection'!$B$2:$B$169,E$1,'Demand Projection'!$C$2:$C$169,$A188)</f>
        <v>659</v>
      </c>
      <c r="F188">
        <f>SUMIFS('Demand Projection'!$D$2:$D$169,'Demand Projection'!$B$2:$B$169,F$1,'Demand Projection'!$C$2:$C$169,$A188)</f>
        <v>0</v>
      </c>
      <c r="G188" cm="1">
        <f t="array" ref="G188">Q187+IF(ROW()-3&lt;2,0,INDEX(L:L,ROW()-3))</f>
        <v>1938</v>
      </c>
      <c r="H188" cm="1">
        <f t="array" ref="H188">R187+IF(ROW()-3&lt;2,0,INDEX(M:M,ROW()-3))</f>
        <v>6570</v>
      </c>
      <c r="I188" cm="1">
        <f t="array" ref="I188">S187+IF(ROW()-3&lt;2,0,INDEX(N:N,ROW()-3))</f>
        <v>42</v>
      </c>
      <c r="J188" cm="1">
        <f t="array" ref="J188">T187+IF(ROW()-3&lt;2,0,INDEX(O:O,ROW()-3))</f>
        <v>5581</v>
      </c>
      <c r="K188" cm="1">
        <f t="array" ref="K188">U187+IF(ROW()-3&lt;2,0,INDEX(P:P,ROW()-3))</f>
        <v>3343</v>
      </c>
      <c r="L188">
        <f>IF(Q188&lt;_xlfn.XLOOKUP(L$1,Capacity!$D$3:$D$7,Capacity!$E$3:$E$7),_xlfn.XLOOKUP(L$1,Capacity!$D$3:$D$7,Capacity!$F$3:$F$7)-Q188,0)</f>
        <v>0</v>
      </c>
      <c r="M188">
        <f>IF(R188&lt;_xlfn.XLOOKUP(M$1,Capacity!$D$3:$D$7,Capacity!$E$3:$E$7),_xlfn.XLOOKUP(M$1,Capacity!$D$3:$D$7,Capacity!$F$3:$F$7)-R188,0)</f>
        <v>0</v>
      </c>
      <c r="N188">
        <f>IF(S188&lt;_xlfn.XLOOKUP(N$1,Capacity!$D$3:$D$7,Capacity!$E$3:$E$7),_xlfn.XLOOKUP(N$1,Capacity!$D$3:$D$7,Capacity!$F$3:$F$7)-S188,0)</f>
        <v>1495</v>
      </c>
      <c r="O188">
        <f>IF(T188&lt;_xlfn.XLOOKUP(O$1,Capacity!$D$3:$D$7,Capacity!$E$3:$E$7),_xlfn.XLOOKUP(O$1,Capacity!$D$3:$D$7,Capacity!$F$3:$F$7)-T188,0)</f>
        <v>0</v>
      </c>
      <c r="P188">
        <f>IF(U188&lt;_xlfn.XLOOKUP(P$1,Capacity!$D$3:$D$7,Capacity!$E$3:$E$7),_xlfn.XLOOKUP(P$1,Capacity!$D$3:$D$7,Capacity!$F$3:$F$7)-U188,0)</f>
        <v>0</v>
      </c>
      <c r="Q188">
        <f t="shared" si="13"/>
        <v>1938</v>
      </c>
      <c r="R188">
        <f t="shared" si="14"/>
        <v>6570</v>
      </c>
      <c r="S188">
        <f t="shared" si="15"/>
        <v>42</v>
      </c>
      <c r="T188">
        <f t="shared" si="16"/>
        <v>4922</v>
      </c>
      <c r="U188">
        <f t="shared" si="17"/>
        <v>3343</v>
      </c>
    </row>
    <row r="189" spans="1:21">
      <c r="A189" s="5">
        <f t="shared" si="18"/>
        <v>46210</v>
      </c>
      <c r="B189">
        <f>SUMIFS('Demand Projection'!$D$2:$D$169,'Demand Projection'!$B$2:$B$169,B$1,'Demand Projection'!$C$2:$C$169,$A189)</f>
        <v>1096</v>
      </c>
      <c r="C189">
        <f>SUMIFS('Demand Projection'!$D$2:$D$169,'Demand Projection'!$B$2:$B$169,C$1,'Demand Projection'!$C$2:$C$169,$A189)</f>
        <v>0</v>
      </c>
      <c r="D189">
        <f>SUMIFS('Demand Projection'!$D$2:$D$169,'Demand Projection'!$B$2:$B$169,D$1,'Demand Projection'!$C$2:$C$169,$A189)</f>
        <v>0</v>
      </c>
      <c r="E189">
        <f>SUMIFS('Demand Projection'!$D$2:$D$169,'Demand Projection'!$B$2:$B$169,E$1,'Demand Projection'!$C$2:$C$169,$A189)</f>
        <v>0</v>
      </c>
      <c r="F189">
        <f>SUMIFS('Demand Projection'!$D$2:$D$169,'Demand Projection'!$B$2:$B$169,F$1,'Demand Projection'!$C$2:$C$169,$A189)</f>
        <v>0</v>
      </c>
      <c r="G189" cm="1">
        <f t="array" ref="G189">Q188+IF(ROW()-3&lt;2,0,INDEX(L:L,ROW()-3))</f>
        <v>1938</v>
      </c>
      <c r="H189" cm="1">
        <f t="array" ref="H189">R188+IF(ROW()-3&lt;2,0,INDEX(M:M,ROW()-3))</f>
        <v>17487</v>
      </c>
      <c r="I189" cm="1">
        <f t="array" ref="I189">S188+IF(ROW()-3&lt;2,0,INDEX(N:N,ROW()-3))</f>
        <v>42</v>
      </c>
      <c r="J189" cm="1">
        <f t="array" ref="J189">T188+IF(ROW()-3&lt;2,0,INDEX(O:O,ROW()-3))</f>
        <v>4922</v>
      </c>
      <c r="K189" cm="1">
        <f t="array" ref="K189">U188+IF(ROW()-3&lt;2,0,INDEX(P:P,ROW()-3))</f>
        <v>3343</v>
      </c>
      <c r="L189">
        <f>IF(Q189&lt;_xlfn.XLOOKUP(L$1,Capacity!$D$3:$D$7,Capacity!$E$3:$E$7),_xlfn.XLOOKUP(L$1,Capacity!$D$3:$D$7,Capacity!$F$3:$F$7)-Q189,0)</f>
        <v>0</v>
      </c>
      <c r="M189">
        <f>IF(R189&lt;_xlfn.XLOOKUP(M$1,Capacity!$D$3:$D$7,Capacity!$E$3:$E$7),_xlfn.XLOOKUP(M$1,Capacity!$D$3:$D$7,Capacity!$F$3:$F$7)-R189,0)</f>
        <v>0</v>
      </c>
      <c r="N189">
        <f>IF(S189&lt;_xlfn.XLOOKUP(N$1,Capacity!$D$3:$D$7,Capacity!$E$3:$E$7),_xlfn.XLOOKUP(N$1,Capacity!$D$3:$D$7,Capacity!$F$3:$F$7)-S189,0)</f>
        <v>1495</v>
      </c>
      <c r="O189">
        <f>IF(T189&lt;_xlfn.XLOOKUP(O$1,Capacity!$D$3:$D$7,Capacity!$E$3:$E$7),_xlfn.XLOOKUP(O$1,Capacity!$D$3:$D$7,Capacity!$F$3:$F$7)-T189,0)</f>
        <v>0</v>
      </c>
      <c r="P189">
        <f>IF(U189&lt;_xlfn.XLOOKUP(P$1,Capacity!$D$3:$D$7,Capacity!$E$3:$E$7),_xlfn.XLOOKUP(P$1,Capacity!$D$3:$D$7,Capacity!$F$3:$F$7)-U189,0)</f>
        <v>0</v>
      </c>
      <c r="Q189">
        <f t="shared" si="13"/>
        <v>842</v>
      </c>
      <c r="R189">
        <f t="shared" si="14"/>
        <v>17487</v>
      </c>
      <c r="S189">
        <f t="shared" si="15"/>
        <v>42</v>
      </c>
      <c r="T189">
        <f t="shared" si="16"/>
        <v>4922</v>
      </c>
      <c r="U189">
        <f t="shared" si="17"/>
        <v>3343</v>
      </c>
    </row>
    <row r="190" spans="1:21">
      <c r="A190" s="5">
        <f t="shared" si="18"/>
        <v>46211</v>
      </c>
      <c r="B190">
        <f>SUMIFS('Demand Projection'!$D$2:$D$169,'Demand Projection'!$B$2:$B$169,B$1,'Demand Projection'!$C$2:$C$169,$A190)</f>
        <v>0</v>
      </c>
      <c r="C190">
        <f>SUMIFS('Demand Projection'!$D$2:$D$169,'Demand Projection'!$B$2:$B$169,C$1,'Demand Projection'!$C$2:$C$169,$A190)</f>
        <v>0</v>
      </c>
      <c r="D190">
        <f>SUMIFS('Demand Projection'!$D$2:$D$169,'Demand Projection'!$B$2:$B$169,D$1,'Demand Projection'!$C$2:$C$169,$A190)</f>
        <v>0</v>
      </c>
      <c r="E190">
        <f>SUMIFS('Demand Projection'!$D$2:$D$169,'Demand Projection'!$B$2:$B$169,E$1,'Demand Projection'!$C$2:$C$169,$A190)</f>
        <v>0</v>
      </c>
      <c r="F190">
        <f>SUMIFS('Demand Projection'!$D$2:$D$169,'Demand Projection'!$B$2:$B$169,F$1,'Demand Projection'!$C$2:$C$169,$A190)</f>
        <v>0</v>
      </c>
      <c r="G190" cm="1">
        <f t="array" ref="G190">Q189+IF(ROW()-3&lt;2,0,INDEX(L:L,ROW()-3))</f>
        <v>842</v>
      </c>
      <c r="H190" cm="1">
        <f t="array" ref="H190">R189+IF(ROW()-3&lt;2,0,INDEX(M:M,ROW()-3))</f>
        <v>28404</v>
      </c>
      <c r="I190" cm="1">
        <f t="array" ref="I190">S189+IF(ROW()-3&lt;2,0,INDEX(N:N,ROW()-3))</f>
        <v>1537</v>
      </c>
      <c r="J190" cm="1">
        <f t="array" ref="J190">T189+IF(ROW()-3&lt;2,0,INDEX(O:O,ROW()-3))</f>
        <v>4922</v>
      </c>
      <c r="K190" cm="1">
        <f t="array" ref="K190">U189+IF(ROW()-3&lt;2,0,INDEX(P:P,ROW()-3))</f>
        <v>3343</v>
      </c>
      <c r="L190">
        <f>IF(Q190&lt;_xlfn.XLOOKUP(L$1,Capacity!$D$3:$D$7,Capacity!$E$3:$E$7),_xlfn.XLOOKUP(L$1,Capacity!$D$3:$D$7,Capacity!$F$3:$F$7)-Q190,0)</f>
        <v>0</v>
      </c>
      <c r="M190">
        <f>IF(R190&lt;_xlfn.XLOOKUP(M$1,Capacity!$D$3:$D$7,Capacity!$E$3:$E$7),_xlfn.XLOOKUP(M$1,Capacity!$D$3:$D$7,Capacity!$F$3:$F$7)-R190,0)</f>
        <v>0</v>
      </c>
      <c r="N190">
        <f>IF(S190&lt;_xlfn.XLOOKUP(N$1,Capacity!$D$3:$D$7,Capacity!$E$3:$E$7),_xlfn.XLOOKUP(N$1,Capacity!$D$3:$D$7,Capacity!$F$3:$F$7)-S190,0)</f>
        <v>0</v>
      </c>
      <c r="O190">
        <f>IF(T190&lt;_xlfn.XLOOKUP(O$1,Capacity!$D$3:$D$7,Capacity!$E$3:$E$7),_xlfn.XLOOKUP(O$1,Capacity!$D$3:$D$7,Capacity!$F$3:$F$7)-T190,0)</f>
        <v>0</v>
      </c>
      <c r="P190">
        <f>IF(U190&lt;_xlfn.XLOOKUP(P$1,Capacity!$D$3:$D$7,Capacity!$E$3:$E$7),_xlfn.XLOOKUP(P$1,Capacity!$D$3:$D$7,Capacity!$F$3:$F$7)-U190,0)</f>
        <v>0</v>
      </c>
      <c r="Q190">
        <f t="shared" si="13"/>
        <v>842</v>
      </c>
      <c r="R190">
        <f t="shared" si="14"/>
        <v>28404</v>
      </c>
      <c r="S190">
        <f t="shared" si="15"/>
        <v>1537</v>
      </c>
      <c r="T190">
        <f t="shared" si="16"/>
        <v>4922</v>
      </c>
      <c r="U190">
        <f t="shared" si="17"/>
        <v>3343</v>
      </c>
    </row>
    <row r="191" spans="1:21">
      <c r="A191" s="5">
        <f t="shared" si="18"/>
        <v>46212</v>
      </c>
      <c r="B191">
        <f>SUMIFS('Demand Projection'!$D$2:$D$169,'Demand Projection'!$B$2:$B$169,B$1,'Demand Projection'!$C$2:$C$169,$A191)</f>
        <v>0</v>
      </c>
      <c r="C191">
        <f>SUMIFS('Demand Projection'!$D$2:$D$169,'Demand Projection'!$B$2:$B$169,C$1,'Demand Projection'!$C$2:$C$169,$A191)</f>
        <v>0</v>
      </c>
      <c r="D191">
        <f>SUMIFS('Demand Projection'!$D$2:$D$169,'Demand Projection'!$B$2:$B$169,D$1,'Demand Projection'!$C$2:$C$169,$A191)</f>
        <v>549</v>
      </c>
      <c r="E191">
        <f>SUMIFS('Demand Projection'!$D$2:$D$169,'Demand Projection'!$B$2:$B$169,E$1,'Demand Projection'!$C$2:$C$169,$A191)</f>
        <v>0</v>
      </c>
      <c r="F191">
        <f>SUMIFS('Demand Projection'!$D$2:$D$169,'Demand Projection'!$B$2:$B$169,F$1,'Demand Projection'!$C$2:$C$169,$A191)</f>
        <v>0</v>
      </c>
      <c r="G191" cm="1">
        <f t="array" ref="G191">Q190+IF(ROW()-3&lt;2,0,INDEX(L:L,ROW()-3))</f>
        <v>842</v>
      </c>
      <c r="H191" cm="1">
        <f t="array" ref="H191">R190+IF(ROW()-3&lt;2,0,INDEX(M:M,ROW()-3))</f>
        <v>28404</v>
      </c>
      <c r="I191" cm="1">
        <f t="array" ref="I191">S190+IF(ROW()-3&lt;2,0,INDEX(N:N,ROW()-3))</f>
        <v>3032</v>
      </c>
      <c r="J191" cm="1">
        <f t="array" ref="J191">T190+IF(ROW()-3&lt;2,0,INDEX(O:O,ROW()-3))</f>
        <v>4922</v>
      </c>
      <c r="K191" cm="1">
        <f t="array" ref="K191">U190+IF(ROW()-3&lt;2,0,INDEX(P:P,ROW()-3))</f>
        <v>3343</v>
      </c>
      <c r="L191">
        <f>IF(Q191&lt;_xlfn.XLOOKUP(L$1,Capacity!$D$3:$D$7,Capacity!$E$3:$E$7),_xlfn.XLOOKUP(L$1,Capacity!$D$3:$D$7,Capacity!$F$3:$F$7)-Q191,0)</f>
        <v>0</v>
      </c>
      <c r="M191">
        <f>IF(R191&lt;_xlfn.XLOOKUP(M$1,Capacity!$D$3:$D$7,Capacity!$E$3:$E$7),_xlfn.XLOOKUP(M$1,Capacity!$D$3:$D$7,Capacity!$F$3:$F$7)-R191,0)</f>
        <v>0</v>
      </c>
      <c r="N191">
        <f>IF(S191&lt;_xlfn.XLOOKUP(N$1,Capacity!$D$3:$D$7,Capacity!$E$3:$E$7),_xlfn.XLOOKUP(N$1,Capacity!$D$3:$D$7,Capacity!$F$3:$F$7)-S191,0)</f>
        <v>0</v>
      </c>
      <c r="O191">
        <f>IF(T191&lt;_xlfn.XLOOKUP(O$1,Capacity!$D$3:$D$7,Capacity!$E$3:$E$7),_xlfn.XLOOKUP(O$1,Capacity!$D$3:$D$7,Capacity!$F$3:$F$7)-T191,0)</f>
        <v>0</v>
      </c>
      <c r="P191">
        <f>IF(U191&lt;_xlfn.XLOOKUP(P$1,Capacity!$D$3:$D$7,Capacity!$E$3:$E$7),_xlfn.XLOOKUP(P$1,Capacity!$D$3:$D$7,Capacity!$F$3:$F$7)-U191,0)</f>
        <v>0</v>
      </c>
      <c r="Q191">
        <f t="shared" si="13"/>
        <v>842</v>
      </c>
      <c r="R191">
        <f t="shared" si="14"/>
        <v>28404</v>
      </c>
      <c r="S191">
        <f t="shared" si="15"/>
        <v>2483</v>
      </c>
      <c r="T191">
        <f t="shared" si="16"/>
        <v>4922</v>
      </c>
      <c r="U191">
        <f t="shared" si="17"/>
        <v>3343</v>
      </c>
    </row>
    <row r="192" spans="1:21">
      <c r="A192" s="5">
        <f t="shared" si="18"/>
        <v>46213</v>
      </c>
      <c r="B192">
        <f>SUMIFS('Demand Projection'!$D$2:$D$169,'Demand Projection'!$B$2:$B$169,B$1,'Demand Projection'!$C$2:$C$169,$A192)</f>
        <v>0</v>
      </c>
      <c r="C192">
        <f>SUMIFS('Demand Projection'!$D$2:$D$169,'Demand Projection'!$B$2:$B$169,C$1,'Demand Projection'!$C$2:$C$169,$A192)</f>
        <v>0</v>
      </c>
      <c r="D192">
        <f>SUMIFS('Demand Projection'!$D$2:$D$169,'Demand Projection'!$B$2:$B$169,D$1,'Demand Projection'!$C$2:$C$169,$A192)</f>
        <v>0</v>
      </c>
      <c r="E192">
        <f>SUMIFS('Demand Projection'!$D$2:$D$169,'Demand Projection'!$B$2:$B$169,E$1,'Demand Projection'!$C$2:$C$169,$A192)</f>
        <v>0</v>
      </c>
      <c r="F192">
        <f>SUMIFS('Demand Projection'!$D$2:$D$169,'Demand Projection'!$B$2:$B$169,F$1,'Demand Projection'!$C$2:$C$169,$A192)</f>
        <v>0</v>
      </c>
      <c r="G192" cm="1">
        <f t="array" ref="G192">Q191+IF(ROW()-3&lt;2,0,INDEX(L:L,ROW()-3))</f>
        <v>842</v>
      </c>
      <c r="H192" cm="1">
        <f t="array" ref="H192">R191+IF(ROW()-3&lt;2,0,INDEX(M:M,ROW()-3))</f>
        <v>28404</v>
      </c>
      <c r="I192" cm="1">
        <f t="array" ref="I192">S191+IF(ROW()-3&lt;2,0,INDEX(N:N,ROW()-3))</f>
        <v>3978</v>
      </c>
      <c r="J192" cm="1">
        <f t="array" ref="J192">T191+IF(ROW()-3&lt;2,0,INDEX(O:O,ROW()-3))</f>
        <v>4922</v>
      </c>
      <c r="K192" cm="1">
        <f t="array" ref="K192">U191+IF(ROW()-3&lt;2,0,INDEX(P:P,ROW()-3))</f>
        <v>3343</v>
      </c>
      <c r="L192">
        <f>IF(Q192&lt;_xlfn.XLOOKUP(L$1,Capacity!$D$3:$D$7,Capacity!$E$3:$E$7),_xlfn.XLOOKUP(L$1,Capacity!$D$3:$D$7,Capacity!$F$3:$F$7)-Q192,0)</f>
        <v>0</v>
      </c>
      <c r="M192">
        <f>IF(R192&lt;_xlfn.XLOOKUP(M$1,Capacity!$D$3:$D$7,Capacity!$E$3:$E$7),_xlfn.XLOOKUP(M$1,Capacity!$D$3:$D$7,Capacity!$F$3:$F$7)-R192,0)</f>
        <v>0</v>
      </c>
      <c r="N192">
        <f>IF(S192&lt;_xlfn.XLOOKUP(N$1,Capacity!$D$3:$D$7,Capacity!$E$3:$E$7),_xlfn.XLOOKUP(N$1,Capacity!$D$3:$D$7,Capacity!$F$3:$F$7)-S192,0)</f>
        <v>0</v>
      </c>
      <c r="O192">
        <f>IF(T192&lt;_xlfn.XLOOKUP(O$1,Capacity!$D$3:$D$7,Capacity!$E$3:$E$7),_xlfn.XLOOKUP(O$1,Capacity!$D$3:$D$7,Capacity!$F$3:$F$7)-T192,0)</f>
        <v>0</v>
      </c>
      <c r="P192">
        <f>IF(U192&lt;_xlfn.XLOOKUP(P$1,Capacity!$D$3:$D$7,Capacity!$E$3:$E$7),_xlfn.XLOOKUP(P$1,Capacity!$D$3:$D$7,Capacity!$F$3:$F$7)-U192,0)</f>
        <v>0</v>
      </c>
      <c r="Q192">
        <f t="shared" si="13"/>
        <v>842</v>
      </c>
      <c r="R192">
        <f t="shared" si="14"/>
        <v>28404</v>
      </c>
      <c r="S192">
        <f t="shared" si="15"/>
        <v>3978</v>
      </c>
      <c r="T192">
        <f t="shared" si="16"/>
        <v>4922</v>
      </c>
      <c r="U192">
        <f t="shared" si="17"/>
        <v>3343</v>
      </c>
    </row>
    <row r="193" spans="1:21">
      <c r="A193" s="5">
        <f t="shared" si="18"/>
        <v>46214</v>
      </c>
      <c r="B193">
        <f>SUMIFS('Demand Projection'!$D$2:$D$169,'Demand Projection'!$B$2:$B$169,B$1,'Demand Projection'!$C$2:$C$169,$A193)</f>
        <v>0</v>
      </c>
      <c r="C193">
        <f>SUMIFS('Demand Projection'!$D$2:$D$169,'Demand Projection'!$B$2:$B$169,C$1,'Demand Projection'!$C$2:$C$169,$A193)</f>
        <v>0</v>
      </c>
      <c r="D193">
        <f>SUMIFS('Demand Projection'!$D$2:$D$169,'Demand Projection'!$B$2:$B$169,D$1,'Demand Projection'!$C$2:$C$169,$A193)</f>
        <v>0</v>
      </c>
      <c r="E193">
        <f>SUMIFS('Demand Projection'!$D$2:$D$169,'Demand Projection'!$B$2:$B$169,E$1,'Demand Projection'!$C$2:$C$169,$A193)</f>
        <v>0</v>
      </c>
      <c r="F193">
        <f>SUMIFS('Demand Projection'!$D$2:$D$169,'Demand Projection'!$B$2:$B$169,F$1,'Demand Projection'!$C$2:$C$169,$A193)</f>
        <v>0</v>
      </c>
      <c r="G193" cm="1">
        <f t="array" ref="G193">Q192+IF(ROW()-3&lt;2,0,INDEX(L:L,ROW()-3))</f>
        <v>842</v>
      </c>
      <c r="H193" cm="1">
        <f t="array" ref="H193">R192+IF(ROW()-3&lt;2,0,INDEX(M:M,ROW()-3))</f>
        <v>28404</v>
      </c>
      <c r="I193" cm="1">
        <f t="array" ref="I193">S192+IF(ROW()-3&lt;2,0,INDEX(N:N,ROW()-3))</f>
        <v>3978</v>
      </c>
      <c r="J193" cm="1">
        <f t="array" ref="J193">T192+IF(ROW()-3&lt;2,0,INDEX(O:O,ROW()-3))</f>
        <v>4922</v>
      </c>
      <c r="K193" cm="1">
        <f t="array" ref="K193">U192+IF(ROW()-3&lt;2,0,INDEX(P:P,ROW()-3))</f>
        <v>3343</v>
      </c>
      <c r="L193">
        <f>IF(Q193&lt;_xlfn.XLOOKUP(L$1,Capacity!$D$3:$D$7,Capacity!$E$3:$E$7),_xlfn.XLOOKUP(L$1,Capacity!$D$3:$D$7,Capacity!$F$3:$F$7)-Q193,0)</f>
        <v>0</v>
      </c>
      <c r="M193">
        <f>IF(R193&lt;_xlfn.XLOOKUP(M$1,Capacity!$D$3:$D$7,Capacity!$E$3:$E$7),_xlfn.XLOOKUP(M$1,Capacity!$D$3:$D$7,Capacity!$F$3:$F$7)-R193,0)</f>
        <v>0</v>
      </c>
      <c r="N193">
        <f>IF(S193&lt;_xlfn.XLOOKUP(N$1,Capacity!$D$3:$D$7,Capacity!$E$3:$E$7),_xlfn.XLOOKUP(N$1,Capacity!$D$3:$D$7,Capacity!$F$3:$F$7)-S193,0)</f>
        <v>0</v>
      </c>
      <c r="O193">
        <f>IF(T193&lt;_xlfn.XLOOKUP(O$1,Capacity!$D$3:$D$7,Capacity!$E$3:$E$7),_xlfn.XLOOKUP(O$1,Capacity!$D$3:$D$7,Capacity!$F$3:$F$7)-T193,0)</f>
        <v>0</v>
      </c>
      <c r="P193">
        <f>IF(U193&lt;_xlfn.XLOOKUP(P$1,Capacity!$D$3:$D$7,Capacity!$E$3:$E$7),_xlfn.XLOOKUP(P$1,Capacity!$D$3:$D$7,Capacity!$F$3:$F$7)-U193,0)</f>
        <v>0</v>
      </c>
      <c r="Q193">
        <f t="shared" si="13"/>
        <v>842</v>
      </c>
      <c r="R193">
        <f t="shared" si="14"/>
        <v>28404</v>
      </c>
      <c r="S193">
        <f t="shared" si="15"/>
        <v>3978</v>
      </c>
      <c r="T193">
        <f t="shared" si="16"/>
        <v>4922</v>
      </c>
      <c r="U193">
        <f t="shared" si="17"/>
        <v>3343</v>
      </c>
    </row>
    <row r="194" spans="1:21">
      <c r="A194" s="5">
        <f t="shared" si="18"/>
        <v>46215</v>
      </c>
      <c r="B194">
        <f>SUMIFS('Demand Projection'!$D$2:$D$169,'Demand Projection'!$B$2:$B$169,B$1,'Demand Projection'!$C$2:$C$169,$A194)</f>
        <v>0</v>
      </c>
      <c r="C194">
        <f>SUMIFS('Demand Projection'!$D$2:$D$169,'Demand Projection'!$B$2:$B$169,C$1,'Demand Projection'!$C$2:$C$169,$A194)</f>
        <v>0</v>
      </c>
      <c r="D194">
        <f>SUMIFS('Demand Projection'!$D$2:$D$169,'Demand Projection'!$B$2:$B$169,D$1,'Demand Projection'!$C$2:$C$169,$A194)</f>
        <v>0</v>
      </c>
      <c r="E194">
        <f>SUMIFS('Demand Projection'!$D$2:$D$169,'Demand Projection'!$B$2:$B$169,E$1,'Demand Projection'!$C$2:$C$169,$A194)</f>
        <v>0</v>
      </c>
      <c r="F194">
        <f>SUMIFS('Demand Projection'!$D$2:$D$169,'Demand Projection'!$B$2:$B$169,F$1,'Demand Projection'!$C$2:$C$169,$A194)</f>
        <v>363</v>
      </c>
      <c r="G194" cm="1">
        <f t="array" ref="G194">Q193+IF(ROW()-3&lt;2,0,INDEX(L:L,ROW()-3))</f>
        <v>842</v>
      </c>
      <c r="H194" cm="1">
        <f t="array" ref="H194">R193+IF(ROW()-3&lt;2,0,INDEX(M:M,ROW()-3))</f>
        <v>28404</v>
      </c>
      <c r="I194" cm="1">
        <f t="array" ref="I194">S193+IF(ROW()-3&lt;2,0,INDEX(N:N,ROW()-3))</f>
        <v>3978</v>
      </c>
      <c r="J194" cm="1">
        <f t="array" ref="J194">T193+IF(ROW()-3&lt;2,0,INDEX(O:O,ROW()-3))</f>
        <v>4922</v>
      </c>
      <c r="K194" cm="1">
        <f t="array" ref="K194">U193+IF(ROW()-3&lt;2,0,INDEX(P:P,ROW()-3))</f>
        <v>3343</v>
      </c>
      <c r="L194">
        <f>IF(Q194&lt;_xlfn.XLOOKUP(L$1,Capacity!$D$3:$D$7,Capacity!$E$3:$E$7),_xlfn.XLOOKUP(L$1,Capacity!$D$3:$D$7,Capacity!$F$3:$F$7)-Q194,0)</f>
        <v>0</v>
      </c>
      <c r="M194">
        <f>IF(R194&lt;_xlfn.XLOOKUP(M$1,Capacity!$D$3:$D$7,Capacity!$E$3:$E$7),_xlfn.XLOOKUP(M$1,Capacity!$D$3:$D$7,Capacity!$F$3:$F$7)-R194,0)</f>
        <v>0</v>
      </c>
      <c r="N194">
        <f>IF(S194&lt;_xlfn.XLOOKUP(N$1,Capacity!$D$3:$D$7,Capacity!$E$3:$E$7),_xlfn.XLOOKUP(N$1,Capacity!$D$3:$D$7,Capacity!$F$3:$F$7)-S194,0)</f>
        <v>0</v>
      </c>
      <c r="O194">
        <f>IF(T194&lt;_xlfn.XLOOKUP(O$1,Capacity!$D$3:$D$7,Capacity!$E$3:$E$7),_xlfn.XLOOKUP(O$1,Capacity!$D$3:$D$7,Capacity!$F$3:$F$7)-T194,0)</f>
        <v>0</v>
      </c>
      <c r="P194">
        <f>IF(U194&lt;_xlfn.XLOOKUP(P$1,Capacity!$D$3:$D$7,Capacity!$E$3:$E$7),_xlfn.XLOOKUP(P$1,Capacity!$D$3:$D$7,Capacity!$F$3:$F$7)-U194,0)</f>
        <v>0</v>
      </c>
      <c r="Q194">
        <f t="shared" si="13"/>
        <v>842</v>
      </c>
      <c r="R194">
        <f t="shared" si="14"/>
        <v>28404</v>
      </c>
      <c r="S194">
        <f t="shared" si="15"/>
        <v>3978</v>
      </c>
      <c r="T194">
        <f t="shared" si="16"/>
        <v>4922</v>
      </c>
      <c r="U194">
        <f t="shared" si="17"/>
        <v>2980</v>
      </c>
    </row>
    <row r="195" spans="1:21">
      <c r="A195" s="5">
        <f t="shared" si="18"/>
        <v>46216</v>
      </c>
      <c r="B195">
        <f>SUMIFS('Demand Projection'!$D$2:$D$169,'Demand Projection'!$B$2:$B$169,B$1,'Demand Projection'!$C$2:$C$169,$A195)</f>
        <v>0</v>
      </c>
      <c r="C195">
        <f>SUMIFS('Demand Projection'!$D$2:$D$169,'Demand Projection'!$B$2:$B$169,C$1,'Demand Projection'!$C$2:$C$169,$A195)</f>
        <v>545</v>
      </c>
      <c r="D195">
        <f>SUMIFS('Demand Projection'!$D$2:$D$169,'Demand Projection'!$B$2:$B$169,D$1,'Demand Projection'!$C$2:$C$169,$A195)</f>
        <v>0</v>
      </c>
      <c r="E195">
        <f>SUMIFS('Demand Projection'!$D$2:$D$169,'Demand Projection'!$B$2:$B$169,E$1,'Demand Projection'!$C$2:$C$169,$A195)</f>
        <v>0</v>
      </c>
      <c r="F195">
        <f>SUMIFS('Demand Projection'!$D$2:$D$169,'Demand Projection'!$B$2:$B$169,F$1,'Demand Projection'!$C$2:$C$169,$A195)</f>
        <v>0</v>
      </c>
      <c r="G195" cm="1">
        <f t="array" ref="G195">Q194+IF(ROW()-3&lt;2,0,INDEX(L:L,ROW()-3))</f>
        <v>842</v>
      </c>
      <c r="H195" cm="1">
        <f t="array" ref="H195">R194+IF(ROW()-3&lt;2,0,INDEX(M:M,ROW()-3))</f>
        <v>28404</v>
      </c>
      <c r="I195" cm="1">
        <f t="array" ref="I195">S194+IF(ROW()-3&lt;2,0,INDEX(N:N,ROW()-3))</f>
        <v>3978</v>
      </c>
      <c r="J195" cm="1">
        <f t="array" ref="J195">T194+IF(ROW()-3&lt;2,0,INDEX(O:O,ROW()-3))</f>
        <v>4922</v>
      </c>
      <c r="K195" cm="1">
        <f t="array" ref="K195">U194+IF(ROW()-3&lt;2,0,INDEX(P:P,ROW()-3))</f>
        <v>2980</v>
      </c>
      <c r="L195">
        <f>IF(Q195&lt;_xlfn.XLOOKUP(L$1,Capacity!$D$3:$D$7,Capacity!$E$3:$E$7),_xlfn.XLOOKUP(L$1,Capacity!$D$3:$D$7,Capacity!$F$3:$F$7)-Q195,0)</f>
        <v>0</v>
      </c>
      <c r="M195">
        <f>IF(R195&lt;_xlfn.XLOOKUP(M$1,Capacity!$D$3:$D$7,Capacity!$E$3:$E$7),_xlfn.XLOOKUP(M$1,Capacity!$D$3:$D$7,Capacity!$F$3:$F$7)-R195,0)</f>
        <v>0</v>
      </c>
      <c r="N195">
        <f>IF(S195&lt;_xlfn.XLOOKUP(N$1,Capacity!$D$3:$D$7,Capacity!$E$3:$E$7),_xlfn.XLOOKUP(N$1,Capacity!$D$3:$D$7,Capacity!$F$3:$F$7)-S195,0)</f>
        <v>0</v>
      </c>
      <c r="O195">
        <f>IF(T195&lt;_xlfn.XLOOKUP(O$1,Capacity!$D$3:$D$7,Capacity!$E$3:$E$7),_xlfn.XLOOKUP(O$1,Capacity!$D$3:$D$7,Capacity!$F$3:$F$7)-T195,0)</f>
        <v>0</v>
      </c>
      <c r="P195">
        <f>IF(U195&lt;_xlfn.XLOOKUP(P$1,Capacity!$D$3:$D$7,Capacity!$E$3:$E$7),_xlfn.XLOOKUP(P$1,Capacity!$D$3:$D$7,Capacity!$F$3:$F$7)-U195,0)</f>
        <v>0</v>
      </c>
      <c r="Q195">
        <f t="shared" ref="Q195:Q258" si="19">G195-B195</f>
        <v>842</v>
      </c>
      <c r="R195">
        <f t="shared" ref="R195:R258" si="20">H195-C195</f>
        <v>27859</v>
      </c>
      <c r="S195">
        <f t="shared" ref="S195:S258" si="21">I195-D195</f>
        <v>3978</v>
      </c>
      <c r="T195">
        <f t="shared" ref="T195:T258" si="22">J195-E195</f>
        <v>4922</v>
      </c>
      <c r="U195">
        <f t="shared" ref="U195:U258" si="23">K195-F195</f>
        <v>2980</v>
      </c>
    </row>
    <row r="196" spans="1:21">
      <c r="A196" s="5">
        <f t="shared" si="18"/>
        <v>46217</v>
      </c>
      <c r="B196">
        <f>SUMIFS('Demand Projection'!$D$2:$D$169,'Demand Projection'!$B$2:$B$169,B$1,'Demand Projection'!$C$2:$C$169,$A196)</f>
        <v>0</v>
      </c>
      <c r="C196">
        <f>SUMIFS('Demand Projection'!$D$2:$D$169,'Demand Projection'!$B$2:$B$169,C$1,'Demand Projection'!$C$2:$C$169,$A196)</f>
        <v>0</v>
      </c>
      <c r="D196">
        <f>SUMIFS('Demand Projection'!$D$2:$D$169,'Demand Projection'!$B$2:$B$169,D$1,'Demand Projection'!$C$2:$C$169,$A196)</f>
        <v>0</v>
      </c>
      <c r="E196">
        <f>SUMIFS('Demand Projection'!$D$2:$D$169,'Demand Projection'!$B$2:$B$169,E$1,'Demand Projection'!$C$2:$C$169,$A196)</f>
        <v>0</v>
      </c>
      <c r="F196">
        <f>SUMIFS('Demand Projection'!$D$2:$D$169,'Demand Projection'!$B$2:$B$169,F$1,'Demand Projection'!$C$2:$C$169,$A196)</f>
        <v>0</v>
      </c>
      <c r="G196" cm="1">
        <f t="array" ref="G196">Q195+IF(ROW()-3&lt;2,0,INDEX(L:L,ROW()-3))</f>
        <v>842</v>
      </c>
      <c r="H196" cm="1">
        <f t="array" ref="H196">R195+IF(ROW()-3&lt;2,0,INDEX(M:M,ROW()-3))</f>
        <v>27859</v>
      </c>
      <c r="I196" cm="1">
        <f t="array" ref="I196">S195+IF(ROW()-3&lt;2,0,INDEX(N:N,ROW()-3))</f>
        <v>3978</v>
      </c>
      <c r="J196" cm="1">
        <f t="array" ref="J196">T195+IF(ROW()-3&lt;2,0,INDEX(O:O,ROW()-3))</f>
        <v>4922</v>
      </c>
      <c r="K196" cm="1">
        <f t="array" ref="K196">U195+IF(ROW()-3&lt;2,0,INDEX(P:P,ROW()-3))</f>
        <v>2980</v>
      </c>
      <c r="L196">
        <f>IF(Q196&lt;_xlfn.XLOOKUP(L$1,Capacity!$D$3:$D$7,Capacity!$E$3:$E$7),_xlfn.XLOOKUP(L$1,Capacity!$D$3:$D$7,Capacity!$F$3:$F$7)-Q196,0)</f>
        <v>0</v>
      </c>
      <c r="M196">
        <f>IF(R196&lt;_xlfn.XLOOKUP(M$1,Capacity!$D$3:$D$7,Capacity!$E$3:$E$7),_xlfn.XLOOKUP(M$1,Capacity!$D$3:$D$7,Capacity!$F$3:$F$7)-R196,0)</f>
        <v>0</v>
      </c>
      <c r="N196">
        <f>IF(S196&lt;_xlfn.XLOOKUP(N$1,Capacity!$D$3:$D$7,Capacity!$E$3:$E$7),_xlfn.XLOOKUP(N$1,Capacity!$D$3:$D$7,Capacity!$F$3:$F$7)-S196,0)</f>
        <v>0</v>
      </c>
      <c r="O196">
        <f>IF(T196&lt;_xlfn.XLOOKUP(O$1,Capacity!$D$3:$D$7,Capacity!$E$3:$E$7),_xlfn.XLOOKUP(O$1,Capacity!$D$3:$D$7,Capacity!$F$3:$F$7)-T196,0)</f>
        <v>0</v>
      </c>
      <c r="P196">
        <f>IF(U196&lt;_xlfn.XLOOKUP(P$1,Capacity!$D$3:$D$7,Capacity!$E$3:$E$7),_xlfn.XLOOKUP(P$1,Capacity!$D$3:$D$7,Capacity!$F$3:$F$7)-U196,0)</f>
        <v>0</v>
      </c>
      <c r="Q196">
        <f t="shared" si="19"/>
        <v>842</v>
      </c>
      <c r="R196">
        <f t="shared" si="20"/>
        <v>27859</v>
      </c>
      <c r="S196">
        <f t="shared" si="21"/>
        <v>3978</v>
      </c>
      <c r="T196">
        <f t="shared" si="22"/>
        <v>4922</v>
      </c>
      <c r="U196">
        <f t="shared" si="23"/>
        <v>2980</v>
      </c>
    </row>
    <row r="197" spans="1:21">
      <c r="A197" s="5">
        <f t="shared" ref="A197:A260" si="24">A196+1</f>
        <v>46218</v>
      </c>
      <c r="B197">
        <f>SUMIFS('Demand Projection'!$D$2:$D$169,'Demand Projection'!$B$2:$B$169,B$1,'Demand Projection'!$C$2:$C$169,$A197)</f>
        <v>0</v>
      </c>
      <c r="C197">
        <f>SUMIFS('Demand Projection'!$D$2:$D$169,'Demand Projection'!$B$2:$B$169,C$1,'Demand Projection'!$C$2:$C$169,$A197)</f>
        <v>0</v>
      </c>
      <c r="D197">
        <f>SUMIFS('Demand Projection'!$D$2:$D$169,'Demand Projection'!$B$2:$B$169,D$1,'Demand Projection'!$C$2:$C$169,$A197)</f>
        <v>0</v>
      </c>
      <c r="E197">
        <f>SUMIFS('Demand Projection'!$D$2:$D$169,'Demand Projection'!$B$2:$B$169,E$1,'Demand Projection'!$C$2:$C$169,$A197)</f>
        <v>0</v>
      </c>
      <c r="F197">
        <f>SUMIFS('Demand Projection'!$D$2:$D$169,'Demand Projection'!$B$2:$B$169,F$1,'Demand Projection'!$C$2:$C$169,$A197)</f>
        <v>0</v>
      </c>
      <c r="G197" cm="1">
        <f t="array" ref="G197">Q196+IF(ROW()-3&lt;2,0,INDEX(L:L,ROW()-3))</f>
        <v>842</v>
      </c>
      <c r="H197" cm="1">
        <f t="array" ref="H197">R196+IF(ROW()-3&lt;2,0,INDEX(M:M,ROW()-3))</f>
        <v>27859</v>
      </c>
      <c r="I197" cm="1">
        <f t="array" ref="I197">S196+IF(ROW()-3&lt;2,0,INDEX(N:N,ROW()-3))</f>
        <v>3978</v>
      </c>
      <c r="J197" cm="1">
        <f t="array" ref="J197">T196+IF(ROW()-3&lt;2,0,INDEX(O:O,ROW()-3))</f>
        <v>4922</v>
      </c>
      <c r="K197" cm="1">
        <f t="array" ref="K197">U196+IF(ROW()-3&lt;2,0,INDEX(P:P,ROW()-3))</f>
        <v>2980</v>
      </c>
      <c r="L197">
        <f>IF(Q197&lt;_xlfn.XLOOKUP(L$1,Capacity!$D$3:$D$7,Capacity!$E$3:$E$7),_xlfn.XLOOKUP(L$1,Capacity!$D$3:$D$7,Capacity!$F$3:$F$7)-Q197,0)</f>
        <v>0</v>
      </c>
      <c r="M197">
        <f>IF(R197&lt;_xlfn.XLOOKUP(M$1,Capacity!$D$3:$D$7,Capacity!$E$3:$E$7),_xlfn.XLOOKUP(M$1,Capacity!$D$3:$D$7,Capacity!$F$3:$F$7)-R197,0)</f>
        <v>0</v>
      </c>
      <c r="N197">
        <f>IF(S197&lt;_xlfn.XLOOKUP(N$1,Capacity!$D$3:$D$7,Capacity!$E$3:$E$7),_xlfn.XLOOKUP(N$1,Capacity!$D$3:$D$7,Capacity!$F$3:$F$7)-S197,0)</f>
        <v>0</v>
      </c>
      <c r="O197">
        <f>IF(T197&lt;_xlfn.XLOOKUP(O$1,Capacity!$D$3:$D$7,Capacity!$E$3:$E$7),_xlfn.XLOOKUP(O$1,Capacity!$D$3:$D$7,Capacity!$F$3:$F$7)-T197,0)</f>
        <v>0</v>
      </c>
      <c r="P197">
        <f>IF(U197&lt;_xlfn.XLOOKUP(P$1,Capacity!$D$3:$D$7,Capacity!$E$3:$E$7),_xlfn.XLOOKUP(P$1,Capacity!$D$3:$D$7,Capacity!$F$3:$F$7)-U197,0)</f>
        <v>0</v>
      </c>
      <c r="Q197">
        <f t="shared" si="19"/>
        <v>842</v>
      </c>
      <c r="R197">
        <f t="shared" si="20"/>
        <v>27859</v>
      </c>
      <c r="S197">
        <f t="shared" si="21"/>
        <v>3978</v>
      </c>
      <c r="T197">
        <f t="shared" si="22"/>
        <v>4922</v>
      </c>
      <c r="U197">
        <f t="shared" si="23"/>
        <v>2980</v>
      </c>
    </row>
    <row r="198" spans="1:21">
      <c r="A198" s="5">
        <f t="shared" si="24"/>
        <v>46219</v>
      </c>
      <c r="B198">
        <f>SUMIFS('Demand Projection'!$D$2:$D$169,'Demand Projection'!$B$2:$B$169,B$1,'Demand Projection'!$C$2:$C$169,$A198)</f>
        <v>0</v>
      </c>
      <c r="C198">
        <f>SUMIFS('Demand Projection'!$D$2:$D$169,'Demand Projection'!$B$2:$B$169,C$1,'Demand Projection'!$C$2:$C$169,$A198)</f>
        <v>0</v>
      </c>
      <c r="D198">
        <f>SUMIFS('Demand Projection'!$D$2:$D$169,'Demand Projection'!$B$2:$B$169,D$1,'Demand Projection'!$C$2:$C$169,$A198)</f>
        <v>0</v>
      </c>
      <c r="E198">
        <f>SUMIFS('Demand Projection'!$D$2:$D$169,'Demand Projection'!$B$2:$B$169,E$1,'Demand Projection'!$C$2:$C$169,$A198)</f>
        <v>0</v>
      </c>
      <c r="F198">
        <f>SUMIFS('Demand Projection'!$D$2:$D$169,'Demand Projection'!$B$2:$B$169,F$1,'Demand Projection'!$C$2:$C$169,$A198)</f>
        <v>0</v>
      </c>
      <c r="G198" cm="1">
        <f t="array" ref="G198">Q197+IF(ROW()-3&lt;2,0,INDEX(L:L,ROW()-3))</f>
        <v>842</v>
      </c>
      <c r="H198" cm="1">
        <f t="array" ref="H198">R197+IF(ROW()-3&lt;2,0,INDEX(M:M,ROW()-3))</f>
        <v>27859</v>
      </c>
      <c r="I198" cm="1">
        <f t="array" ref="I198">S197+IF(ROW()-3&lt;2,0,INDEX(N:N,ROW()-3))</f>
        <v>3978</v>
      </c>
      <c r="J198" cm="1">
        <f t="array" ref="J198">T197+IF(ROW()-3&lt;2,0,INDEX(O:O,ROW()-3))</f>
        <v>4922</v>
      </c>
      <c r="K198" cm="1">
        <f t="array" ref="K198">U197+IF(ROW()-3&lt;2,0,INDEX(P:P,ROW()-3))</f>
        <v>2980</v>
      </c>
      <c r="L198">
        <f>IF(Q198&lt;_xlfn.XLOOKUP(L$1,Capacity!$D$3:$D$7,Capacity!$E$3:$E$7),_xlfn.XLOOKUP(L$1,Capacity!$D$3:$D$7,Capacity!$F$3:$F$7)-Q198,0)</f>
        <v>0</v>
      </c>
      <c r="M198">
        <f>IF(R198&lt;_xlfn.XLOOKUP(M$1,Capacity!$D$3:$D$7,Capacity!$E$3:$E$7),_xlfn.XLOOKUP(M$1,Capacity!$D$3:$D$7,Capacity!$F$3:$F$7)-R198,0)</f>
        <v>0</v>
      </c>
      <c r="N198">
        <f>IF(S198&lt;_xlfn.XLOOKUP(N$1,Capacity!$D$3:$D$7,Capacity!$E$3:$E$7),_xlfn.XLOOKUP(N$1,Capacity!$D$3:$D$7,Capacity!$F$3:$F$7)-S198,0)</f>
        <v>0</v>
      </c>
      <c r="O198">
        <f>IF(T198&lt;_xlfn.XLOOKUP(O$1,Capacity!$D$3:$D$7,Capacity!$E$3:$E$7),_xlfn.XLOOKUP(O$1,Capacity!$D$3:$D$7,Capacity!$F$3:$F$7)-T198,0)</f>
        <v>0</v>
      </c>
      <c r="P198">
        <f>IF(U198&lt;_xlfn.XLOOKUP(P$1,Capacity!$D$3:$D$7,Capacity!$E$3:$E$7),_xlfn.XLOOKUP(P$1,Capacity!$D$3:$D$7,Capacity!$F$3:$F$7)-U198,0)</f>
        <v>0</v>
      </c>
      <c r="Q198">
        <f t="shared" si="19"/>
        <v>842</v>
      </c>
      <c r="R198">
        <f t="shared" si="20"/>
        <v>27859</v>
      </c>
      <c r="S198">
        <f t="shared" si="21"/>
        <v>3978</v>
      </c>
      <c r="T198">
        <f t="shared" si="22"/>
        <v>4922</v>
      </c>
      <c r="U198">
        <f t="shared" si="23"/>
        <v>2980</v>
      </c>
    </row>
    <row r="199" spans="1:21">
      <c r="A199" s="5">
        <f t="shared" si="24"/>
        <v>46220</v>
      </c>
      <c r="B199">
        <f>SUMIFS('Demand Projection'!$D$2:$D$169,'Demand Projection'!$B$2:$B$169,B$1,'Demand Projection'!$C$2:$C$169,$A199)</f>
        <v>0</v>
      </c>
      <c r="C199">
        <f>SUMIFS('Demand Projection'!$D$2:$D$169,'Demand Projection'!$B$2:$B$169,C$1,'Demand Projection'!$C$2:$C$169,$A199)</f>
        <v>0</v>
      </c>
      <c r="D199">
        <f>SUMIFS('Demand Projection'!$D$2:$D$169,'Demand Projection'!$B$2:$B$169,D$1,'Demand Projection'!$C$2:$C$169,$A199)</f>
        <v>0</v>
      </c>
      <c r="E199">
        <f>SUMIFS('Demand Projection'!$D$2:$D$169,'Demand Projection'!$B$2:$B$169,E$1,'Demand Projection'!$C$2:$C$169,$A199)</f>
        <v>775</v>
      </c>
      <c r="F199">
        <f>SUMIFS('Demand Projection'!$D$2:$D$169,'Demand Projection'!$B$2:$B$169,F$1,'Demand Projection'!$C$2:$C$169,$A199)</f>
        <v>0</v>
      </c>
      <c r="G199" cm="1">
        <f t="array" ref="G199">Q198+IF(ROW()-3&lt;2,0,INDEX(L:L,ROW()-3))</f>
        <v>842</v>
      </c>
      <c r="H199" cm="1">
        <f t="array" ref="H199">R198+IF(ROW()-3&lt;2,0,INDEX(M:M,ROW()-3))</f>
        <v>27859</v>
      </c>
      <c r="I199" cm="1">
        <f t="array" ref="I199">S198+IF(ROW()-3&lt;2,0,INDEX(N:N,ROW()-3))</f>
        <v>3978</v>
      </c>
      <c r="J199" cm="1">
        <f t="array" ref="J199">T198+IF(ROW()-3&lt;2,0,INDEX(O:O,ROW()-3))</f>
        <v>4922</v>
      </c>
      <c r="K199" cm="1">
        <f t="array" ref="K199">U198+IF(ROW()-3&lt;2,0,INDEX(P:P,ROW()-3))</f>
        <v>2980</v>
      </c>
      <c r="L199">
        <f>IF(Q199&lt;_xlfn.XLOOKUP(L$1,Capacity!$D$3:$D$7,Capacity!$E$3:$E$7),_xlfn.XLOOKUP(L$1,Capacity!$D$3:$D$7,Capacity!$F$3:$F$7)-Q199,0)</f>
        <v>0</v>
      </c>
      <c r="M199">
        <f>IF(R199&lt;_xlfn.XLOOKUP(M$1,Capacity!$D$3:$D$7,Capacity!$E$3:$E$7),_xlfn.XLOOKUP(M$1,Capacity!$D$3:$D$7,Capacity!$F$3:$F$7)-R199,0)</f>
        <v>0</v>
      </c>
      <c r="N199">
        <f>IF(S199&lt;_xlfn.XLOOKUP(N$1,Capacity!$D$3:$D$7,Capacity!$E$3:$E$7),_xlfn.XLOOKUP(N$1,Capacity!$D$3:$D$7,Capacity!$F$3:$F$7)-S199,0)</f>
        <v>0</v>
      </c>
      <c r="O199">
        <f>IF(T199&lt;_xlfn.XLOOKUP(O$1,Capacity!$D$3:$D$7,Capacity!$E$3:$E$7),_xlfn.XLOOKUP(O$1,Capacity!$D$3:$D$7,Capacity!$F$3:$F$7)-T199,0)</f>
        <v>0</v>
      </c>
      <c r="P199">
        <f>IF(U199&lt;_xlfn.XLOOKUP(P$1,Capacity!$D$3:$D$7,Capacity!$E$3:$E$7),_xlfn.XLOOKUP(P$1,Capacity!$D$3:$D$7,Capacity!$F$3:$F$7)-U199,0)</f>
        <v>0</v>
      </c>
      <c r="Q199">
        <f t="shared" si="19"/>
        <v>842</v>
      </c>
      <c r="R199">
        <f t="shared" si="20"/>
        <v>27859</v>
      </c>
      <c r="S199">
        <f t="shared" si="21"/>
        <v>3978</v>
      </c>
      <c r="T199">
        <f t="shared" si="22"/>
        <v>4147</v>
      </c>
      <c r="U199">
        <f t="shared" si="23"/>
        <v>2980</v>
      </c>
    </row>
    <row r="200" spans="1:21">
      <c r="A200" s="5">
        <f t="shared" si="24"/>
        <v>46221</v>
      </c>
      <c r="B200">
        <f>SUMIFS('Demand Projection'!$D$2:$D$169,'Demand Projection'!$B$2:$B$169,B$1,'Demand Projection'!$C$2:$C$169,$A200)</f>
        <v>0</v>
      </c>
      <c r="C200">
        <f>SUMIFS('Demand Projection'!$D$2:$D$169,'Demand Projection'!$B$2:$B$169,C$1,'Demand Projection'!$C$2:$C$169,$A200)</f>
        <v>0</v>
      </c>
      <c r="D200">
        <f>SUMIFS('Demand Projection'!$D$2:$D$169,'Demand Projection'!$B$2:$B$169,D$1,'Demand Projection'!$C$2:$C$169,$A200)</f>
        <v>0</v>
      </c>
      <c r="E200">
        <f>SUMIFS('Demand Projection'!$D$2:$D$169,'Demand Projection'!$B$2:$B$169,E$1,'Demand Projection'!$C$2:$C$169,$A200)</f>
        <v>0</v>
      </c>
      <c r="F200">
        <f>SUMIFS('Demand Projection'!$D$2:$D$169,'Demand Projection'!$B$2:$B$169,F$1,'Demand Projection'!$C$2:$C$169,$A200)</f>
        <v>0</v>
      </c>
      <c r="G200" cm="1">
        <f t="array" ref="G200">Q199+IF(ROW()-3&lt;2,0,INDEX(L:L,ROW()-3))</f>
        <v>842</v>
      </c>
      <c r="H200" cm="1">
        <f t="array" ref="H200">R199+IF(ROW()-3&lt;2,0,INDEX(M:M,ROW()-3))</f>
        <v>27859</v>
      </c>
      <c r="I200" cm="1">
        <f t="array" ref="I200">S199+IF(ROW()-3&lt;2,0,INDEX(N:N,ROW()-3))</f>
        <v>3978</v>
      </c>
      <c r="J200" cm="1">
        <f t="array" ref="J200">T199+IF(ROW()-3&lt;2,0,INDEX(O:O,ROW()-3))</f>
        <v>4147</v>
      </c>
      <c r="K200" cm="1">
        <f t="array" ref="K200">U199+IF(ROW()-3&lt;2,0,INDEX(P:P,ROW()-3))</f>
        <v>2980</v>
      </c>
      <c r="L200">
        <f>IF(Q200&lt;_xlfn.XLOOKUP(L$1,Capacity!$D$3:$D$7,Capacity!$E$3:$E$7),_xlfn.XLOOKUP(L$1,Capacity!$D$3:$D$7,Capacity!$F$3:$F$7)-Q200,0)</f>
        <v>0</v>
      </c>
      <c r="M200">
        <f>IF(R200&lt;_xlfn.XLOOKUP(M$1,Capacity!$D$3:$D$7,Capacity!$E$3:$E$7),_xlfn.XLOOKUP(M$1,Capacity!$D$3:$D$7,Capacity!$F$3:$F$7)-R200,0)</f>
        <v>0</v>
      </c>
      <c r="N200">
        <f>IF(S200&lt;_xlfn.XLOOKUP(N$1,Capacity!$D$3:$D$7,Capacity!$E$3:$E$7),_xlfn.XLOOKUP(N$1,Capacity!$D$3:$D$7,Capacity!$F$3:$F$7)-S200,0)</f>
        <v>0</v>
      </c>
      <c r="O200">
        <f>IF(T200&lt;_xlfn.XLOOKUP(O$1,Capacity!$D$3:$D$7,Capacity!$E$3:$E$7),_xlfn.XLOOKUP(O$1,Capacity!$D$3:$D$7,Capacity!$F$3:$F$7)-T200,0)</f>
        <v>0</v>
      </c>
      <c r="P200">
        <f>IF(U200&lt;_xlfn.XLOOKUP(P$1,Capacity!$D$3:$D$7,Capacity!$E$3:$E$7),_xlfn.XLOOKUP(P$1,Capacity!$D$3:$D$7,Capacity!$F$3:$F$7)-U200,0)</f>
        <v>0</v>
      </c>
      <c r="Q200">
        <f t="shared" si="19"/>
        <v>842</v>
      </c>
      <c r="R200">
        <f t="shared" si="20"/>
        <v>27859</v>
      </c>
      <c r="S200">
        <f t="shared" si="21"/>
        <v>3978</v>
      </c>
      <c r="T200">
        <f t="shared" si="22"/>
        <v>4147</v>
      </c>
      <c r="U200">
        <f t="shared" si="23"/>
        <v>2980</v>
      </c>
    </row>
    <row r="201" spans="1:21">
      <c r="A201" s="5">
        <f t="shared" si="24"/>
        <v>46222</v>
      </c>
      <c r="B201">
        <f>SUMIFS('Demand Projection'!$D$2:$D$169,'Demand Projection'!$B$2:$B$169,B$1,'Demand Projection'!$C$2:$C$169,$A201)</f>
        <v>0</v>
      </c>
      <c r="C201">
        <f>SUMIFS('Demand Projection'!$D$2:$D$169,'Demand Projection'!$B$2:$B$169,C$1,'Demand Projection'!$C$2:$C$169,$A201)</f>
        <v>0</v>
      </c>
      <c r="D201">
        <f>SUMIFS('Demand Projection'!$D$2:$D$169,'Demand Projection'!$B$2:$B$169,D$1,'Demand Projection'!$C$2:$C$169,$A201)</f>
        <v>0</v>
      </c>
      <c r="E201">
        <f>SUMIFS('Demand Projection'!$D$2:$D$169,'Demand Projection'!$B$2:$B$169,E$1,'Demand Projection'!$C$2:$C$169,$A201)</f>
        <v>0</v>
      </c>
      <c r="F201">
        <f>SUMIFS('Demand Projection'!$D$2:$D$169,'Demand Projection'!$B$2:$B$169,F$1,'Demand Projection'!$C$2:$C$169,$A201)</f>
        <v>0</v>
      </c>
      <c r="G201" cm="1">
        <f t="array" ref="G201">Q200+IF(ROW()-3&lt;2,0,INDEX(L:L,ROW()-3))</f>
        <v>842</v>
      </c>
      <c r="H201" cm="1">
        <f t="array" ref="H201">R200+IF(ROW()-3&lt;2,0,INDEX(M:M,ROW()-3))</f>
        <v>27859</v>
      </c>
      <c r="I201" cm="1">
        <f t="array" ref="I201">S200+IF(ROW()-3&lt;2,0,INDEX(N:N,ROW()-3))</f>
        <v>3978</v>
      </c>
      <c r="J201" cm="1">
        <f t="array" ref="J201">T200+IF(ROW()-3&lt;2,0,INDEX(O:O,ROW()-3))</f>
        <v>4147</v>
      </c>
      <c r="K201" cm="1">
        <f t="array" ref="K201">U200+IF(ROW()-3&lt;2,0,INDEX(P:P,ROW()-3))</f>
        <v>2980</v>
      </c>
      <c r="L201">
        <f>IF(Q201&lt;_xlfn.XLOOKUP(L$1,Capacity!$D$3:$D$7,Capacity!$E$3:$E$7),_xlfn.XLOOKUP(L$1,Capacity!$D$3:$D$7,Capacity!$F$3:$F$7)-Q201,0)</f>
        <v>0</v>
      </c>
      <c r="M201">
        <f>IF(R201&lt;_xlfn.XLOOKUP(M$1,Capacity!$D$3:$D$7,Capacity!$E$3:$E$7),_xlfn.XLOOKUP(M$1,Capacity!$D$3:$D$7,Capacity!$F$3:$F$7)-R201,0)</f>
        <v>0</v>
      </c>
      <c r="N201">
        <f>IF(S201&lt;_xlfn.XLOOKUP(N$1,Capacity!$D$3:$D$7,Capacity!$E$3:$E$7),_xlfn.XLOOKUP(N$1,Capacity!$D$3:$D$7,Capacity!$F$3:$F$7)-S201,0)</f>
        <v>0</v>
      </c>
      <c r="O201">
        <f>IF(T201&lt;_xlfn.XLOOKUP(O$1,Capacity!$D$3:$D$7,Capacity!$E$3:$E$7),_xlfn.XLOOKUP(O$1,Capacity!$D$3:$D$7,Capacity!$F$3:$F$7)-T201,0)</f>
        <v>0</v>
      </c>
      <c r="P201">
        <f>IF(U201&lt;_xlfn.XLOOKUP(P$1,Capacity!$D$3:$D$7,Capacity!$E$3:$E$7),_xlfn.XLOOKUP(P$1,Capacity!$D$3:$D$7,Capacity!$F$3:$F$7)-U201,0)</f>
        <v>0</v>
      </c>
      <c r="Q201">
        <f t="shared" si="19"/>
        <v>842</v>
      </c>
      <c r="R201">
        <f t="shared" si="20"/>
        <v>27859</v>
      </c>
      <c r="S201">
        <f t="shared" si="21"/>
        <v>3978</v>
      </c>
      <c r="T201">
        <f t="shared" si="22"/>
        <v>4147</v>
      </c>
      <c r="U201">
        <f t="shared" si="23"/>
        <v>2980</v>
      </c>
    </row>
    <row r="202" spans="1:21">
      <c r="A202" s="5">
        <f t="shared" si="24"/>
        <v>46223</v>
      </c>
      <c r="B202">
        <f>SUMIFS('Demand Projection'!$D$2:$D$169,'Demand Projection'!$B$2:$B$169,B$1,'Demand Projection'!$C$2:$C$169,$A202)</f>
        <v>0</v>
      </c>
      <c r="C202">
        <f>SUMIFS('Demand Projection'!$D$2:$D$169,'Demand Projection'!$B$2:$B$169,C$1,'Demand Projection'!$C$2:$C$169,$A202)</f>
        <v>0</v>
      </c>
      <c r="D202">
        <f>SUMIFS('Demand Projection'!$D$2:$D$169,'Demand Projection'!$B$2:$B$169,D$1,'Demand Projection'!$C$2:$C$169,$A202)</f>
        <v>713</v>
      </c>
      <c r="E202">
        <f>SUMIFS('Demand Projection'!$D$2:$D$169,'Demand Projection'!$B$2:$B$169,E$1,'Demand Projection'!$C$2:$C$169,$A202)</f>
        <v>0</v>
      </c>
      <c r="F202">
        <f>SUMIFS('Demand Projection'!$D$2:$D$169,'Demand Projection'!$B$2:$B$169,F$1,'Demand Projection'!$C$2:$C$169,$A202)</f>
        <v>0</v>
      </c>
      <c r="G202" cm="1">
        <f t="array" ref="G202">Q201+IF(ROW()-3&lt;2,0,INDEX(L:L,ROW()-3))</f>
        <v>842</v>
      </c>
      <c r="H202" cm="1">
        <f t="array" ref="H202">R201+IF(ROW()-3&lt;2,0,INDEX(M:M,ROW()-3))</f>
        <v>27859</v>
      </c>
      <c r="I202" cm="1">
        <f t="array" ref="I202">S201+IF(ROW()-3&lt;2,0,INDEX(N:N,ROW()-3))</f>
        <v>3978</v>
      </c>
      <c r="J202" cm="1">
        <f t="array" ref="J202">T201+IF(ROW()-3&lt;2,0,INDEX(O:O,ROW()-3))</f>
        <v>4147</v>
      </c>
      <c r="K202" cm="1">
        <f t="array" ref="K202">U201+IF(ROW()-3&lt;2,0,INDEX(P:P,ROW()-3))</f>
        <v>2980</v>
      </c>
      <c r="L202">
        <f>IF(Q202&lt;_xlfn.XLOOKUP(L$1,Capacity!$D$3:$D$7,Capacity!$E$3:$E$7),_xlfn.XLOOKUP(L$1,Capacity!$D$3:$D$7,Capacity!$F$3:$F$7)-Q202,0)</f>
        <v>0</v>
      </c>
      <c r="M202">
        <f>IF(R202&lt;_xlfn.XLOOKUP(M$1,Capacity!$D$3:$D$7,Capacity!$E$3:$E$7),_xlfn.XLOOKUP(M$1,Capacity!$D$3:$D$7,Capacity!$F$3:$F$7)-R202,0)</f>
        <v>0</v>
      </c>
      <c r="N202">
        <f>IF(S202&lt;_xlfn.XLOOKUP(N$1,Capacity!$D$3:$D$7,Capacity!$E$3:$E$7),_xlfn.XLOOKUP(N$1,Capacity!$D$3:$D$7,Capacity!$F$3:$F$7)-S202,0)</f>
        <v>0</v>
      </c>
      <c r="O202">
        <f>IF(T202&lt;_xlfn.XLOOKUP(O$1,Capacity!$D$3:$D$7,Capacity!$E$3:$E$7),_xlfn.XLOOKUP(O$1,Capacity!$D$3:$D$7,Capacity!$F$3:$F$7)-T202,0)</f>
        <v>0</v>
      </c>
      <c r="P202">
        <f>IF(U202&lt;_xlfn.XLOOKUP(P$1,Capacity!$D$3:$D$7,Capacity!$E$3:$E$7),_xlfn.XLOOKUP(P$1,Capacity!$D$3:$D$7,Capacity!$F$3:$F$7)-U202,0)</f>
        <v>0</v>
      </c>
      <c r="Q202">
        <f t="shared" si="19"/>
        <v>842</v>
      </c>
      <c r="R202">
        <f t="shared" si="20"/>
        <v>27859</v>
      </c>
      <c r="S202">
        <f t="shared" si="21"/>
        <v>3265</v>
      </c>
      <c r="T202">
        <f t="shared" si="22"/>
        <v>4147</v>
      </c>
      <c r="U202">
        <f t="shared" si="23"/>
        <v>2980</v>
      </c>
    </row>
    <row r="203" spans="1:21">
      <c r="A203" s="5">
        <f t="shared" si="24"/>
        <v>46224</v>
      </c>
      <c r="B203">
        <f>SUMIFS('Demand Projection'!$D$2:$D$169,'Demand Projection'!$B$2:$B$169,B$1,'Demand Projection'!$C$2:$C$169,$A203)</f>
        <v>0</v>
      </c>
      <c r="C203">
        <f>SUMIFS('Demand Projection'!$D$2:$D$169,'Demand Projection'!$B$2:$B$169,C$1,'Demand Projection'!$C$2:$C$169,$A203)</f>
        <v>0</v>
      </c>
      <c r="D203">
        <f>SUMIFS('Demand Projection'!$D$2:$D$169,'Demand Projection'!$B$2:$B$169,D$1,'Demand Projection'!$C$2:$C$169,$A203)</f>
        <v>0</v>
      </c>
      <c r="E203">
        <f>SUMIFS('Demand Projection'!$D$2:$D$169,'Demand Projection'!$B$2:$B$169,E$1,'Demand Projection'!$C$2:$C$169,$A203)</f>
        <v>0</v>
      </c>
      <c r="F203">
        <f>SUMIFS('Demand Projection'!$D$2:$D$169,'Demand Projection'!$B$2:$B$169,F$1,'Demand Projection'!$C$2:$C$169,$A203)</f>
        <v>0</v>
      </c>
      <c r="G203" cm="1">
        <f t="array" ref="G203">Q202+IF(ROW()-3&lt;2,0,INDEX(L:L,ROW()-3))</f>
        <v>842</v>
      </c>
      <c r="H203" cm="1">
        <f t="array" ref="H203">R202+IF(ROW()-3&lt;2,0,INDEX(M:M,ROW()-3))</f>
        <v>27859</v>
      </c>
      <c r="I203" cm="1">
        <f t="array" ref="I203">S202+IF(ROW()-3&lt;2,0,INDEX(N:N,ROW()-3))</f>
        <v>3265</v>
      </c>
      <c r="J203" cm="1">
        <f t="array" ref="J203">T202+IF(ROW()-3&lt;2,0,INDEX(O:O,ROW()-3))</f>
        <v>4147</v>
      </c>
      <c r="K203" cm="1">
        <f t="array" ref="K203">U202+IF(ROW()-3&lt;2,0,INDEX(P:P,ROW()-3))</f>
        <v>2980</v>
      </c>
      <c r="L203">
        <f>IF(Q203&lt;_xlfn.XLOOKUP(L$1,Capacity!$D$3:$D$7,Capacity!$E$3:$E$7),_xlfn.XLOOKUP(L$1,Capacity!$D$3:$D$7,Capacity!$F$3:$F$7)-Q203,0)</f>
        <v>0</v>
      </c>
      <c r="M203">
        <f>IF(R203&lt;_xlfn.XLOOKUP(M$1,Capacity!$D$3:$D$7,Capacity!$E$3:$E$7),_xlfn.XLOOKUP(M$1,Capacity!$D$3:$D$7,Capacity!$F$3:$F$7)-R203,0)</f>
        <v>0</v>
      </c>
      <c r="N203">
        <f>IF(S203&lt;_xlfn.XLOOKUP(N$1,Capacity!$D$3:$D$7,Capacity!$E$3:$E$7),_xlfn.XLOOKUP(N$1,Capacity!$D$3:$D$7,Capacity!$F$3:$F$7)-S203,0)</f>
        <v>0</v>
      </c>
      <c r="O203">
        <f>IF(T203&lt;_xlfn.XLOOKUP(O$1,Capacity!$D$3:$D$7,Capacity!$E$3:$E$7),_xlfn.XLOOKUP(O$1,Capacity!$D$3:$D$7,Capacity!$F$3:$F$7)-T203,0)</f>
        <v>0</v>
      </c>
      <c r="P203">
        <f>IF(U203&lt;_xlfn.XLOOKUP(P$1,Capacity!$D$3:$D$7,Capacity!$E$3:$E$7),_xlfn.XLOOKUP(P$1,Capacity!$D$3:$D$7,Capacity!$F$3:$F$7)-U203,0)</f>
        <v>0</v>
      </c>
      <c r="Q203">
        <f t="shared" si="19"/>
        <v>842</v>
      </c>
      <c r="R203">
        <f t="shared" si="20"/>
        <v>27859</v>
      </c>
      <c r="S203">
        <f t="shared" si="21"/>
        <v>3265</v>
      </c>
      <c r="T203">
        <f t="shared" si="22"/>
        <v>4147</v>
      </c>
      <c r="U203">
        <f t="shared" si="23"/>
        <v>2980</v>
      </c>
    </row>
    <row r="204" spans="1:21">
      <c r="A204" s="5">
        <f t="shared" si="24"/>
        <v>46225</v>
      </c>
      <c r="B204">
        <f>SUMIFS('Demand Projection'!$D$2:$D$169,'Demand Projection'!$B$2:$B$169,B$1,'Demand Projection'!$C$2:$C$169,$A204)</f>
        <v>0</v>
      </c>
      <c r="C204">
        <f>SUMIFS('Demand Projection'!$D$2:$D$169,'Demand Projection'!$B$2:$B$169,C$1,'Demand Projection'!$C$2:$C$169,$A204)</f>
        <v>0</v>
      </c>
      <c r="D204">
        <f>SUMIFS('Demand Projection'!$D$2:$D$169,'Demand Projection'!$B$2:$B$169,D$1,'Demand Projection'!$C$2:$C$169,$A204)</f>
        <v>0</v>
      </c>
      <c r="E204">
        <f>SUMIFS('Demand Projection'!$D$2:$D$169,'Demand Projection'!$B$2:$B$169,E$1,'Demand Projection'!$C$2:$C$169,$A204)</f>
        <v>0</v>
      </c>
      <c r="F204">
        <f>SUMIFS('Demand Projection'!$D$2:$D$169,'Demand Projection'!$B$2:$B$169,F$1,'Demand Projection'!$C$2:$C$169,$A204)</f>
        <v>0</v>
      </c>
      <c r="G204" cm="1">
        <f t="array" ref="G204">Q203+IF(ROW()-3&lt;2,0,INDEX(L:L,ROW()-3))</f>
        <v>842</v>
      </c>
      <c r="H204" cm="1">
        <f t="array" ref="H204">R203+IF(ROW()-3&lt;2,0,INDEX(M:M,ROW()-3))</f>
        <v>27859</v>
      </c>
      <c r="I204" cm="1">
        <f t="array" ref="I204">S203+IF(ROW()-3&lt;2,0,INDEX(N:N,ROW()-3))</f>
        <v>3265</v>
      </c>
      <c r="J204" cm="1">
        <f t="array" ref="J204">T203+IF(ROW()-3&lt;2,0,INDEX(O:O,ROW()-3))</f>
        <v>4147</v>
      </c>
      <c r="K204" cm="1">
        <f t="array" ref="K204">U203+IF(ROW()-3&lt;2,0,INDEX(P:P,ROW()-3))</f>
        <v>2980</v>
      </c>
      <c r="L204">
        <f>IF(Q204&lt;_xlfn.XLOOKUP(L$1,Capacity!$D$3:$D$7,Capacity!$E$3:$E$7),_xlfn.XLOOKUP(L$1,Capacity!$D$3:$D$7,Capacity!$F$3:$F$7)-Q204,0)</f>
        <v>0</v>
      </c>
      <c r="M204">
        <f>IF(R204&lt;_xlfn.XLOOKUP(M$1,Capacity!$D$3:$D$7,Capacity!$E$3:$E$7),_xlfn.XLOOKUP(M$1,Capacity!$D$3:$D$7,Capacity!$F$3:$F$7)-R204,0)</f>
        <v>0</v>
      </c>
      <c r="N204">
        <f>IF(S204&lt;_xlfn.XLOOKUP(N$1,Capacity!$D$3:$D$7,Capacity!$E$3:$E$7),_xlfn.XLOOKUP(N$1,Capacity!$D$3:$D$7,Capacity!$F$3:$F$7)-S204,0)</f>
        <v>0</v>
      </c>
      <c r="O204">
        <f>IF(T204&lt;_xlfn.XLOOKUP(O$1,Capacity!$D$3:$D$7,Capacity!$E$3:$E$7),_xlfn.XLOOKUP(O$1,Capacity!$D$3:$D$7,Capacity!$F$3:$F$7)-T204,0)</f>
        <v>0</v>
      </c>
      <c r="P204">
        <f>IF(U204&lt;_xlfn.XLOOKUP(P$1,Capacity!$D$3:$D$7,Capacity!$E$3:$E$7),_xlfn.XLOOKUP(P$1,Capacity!$D$3:$D$7,Capacity!$F$3:$F$7)-U204,0)</f>
        <v>0</v>
      </c>
      <c r="Q204">
        <f t="shared" si="19"/>
        <v>842</v>
      </c>
      <c r="R204">
        <f t="shared" si="20"/>
        <v>27859</v>
      </c>
      <c r="S204">
        <f t="shared" si="21"/>
        <v>3265</v>
      </c>
      <c r="T204">
        <f t="shared" si="22"/>
        <v>4147</v>
      </c>
      <c r="U204">
        <f t="shared" si="23"/>
        <v>2980</v>
      </c>
    </row>
    <row r="205" spans="1:21">
      <c r="A205" s="5">
        <f t="shared" si="24"/>
        <v>46226</v>
      </c>
      <c r="B205">
        <f>SUMIFS('Demand Projection'!$D$2:$D$169,'Demand Projection'!$B$2:$B$169,B$1,'Demand Projection'!$C$2:$C$169,$A205)</f>
        <v>0</v>
      </c>
      <c r="C205">
        <f>SUMIFS('Demand Projection'!$D$2:$D$169,'Demand Projection'!$B$2:$B$169,C$1,'Demand Projection'!$C$2:$C$169,$A205)</f>
        <v>0</v>
      </c>
      <c r="D205">
        <f>SUMIFS('Demand Projection'!$D$2:$D$169,'Demand Projection'!$B$2:$B$169,D$1,'Demand Projection'!$C$2:$C$169,$A205)</f>
        <v>0</v>
      </c>
      <c r="E205">
        <f>SUMIFS('Demand Projection'!$D$2:$D$169,'Demand Projection'!$B$2:$B$169,E$1,'Demand Projection'!$C$2:$C$169,$A205)</f>
        <v>0</v>
      </c>
      <c r="F205">
        <f>SUMIFS('Demand Projection'!$D$2:$D$169,'Demand Projection'!$B$2:$B$169,F$1,'Demand Projection'!$C$2:$C$169,$A205)</f>
        <v>0</v>
      </c>
      <c r="G205" cm="1">
        <f t="array" ref="G205">Q204+IF(ROW()-3&lt;2,0,INDEX(L:L,ROW()-3))</f>
        <v>842</v>
      </c>
      <c r="H205" cm="1">
        <f t="array" ref="H205">R204+IF(ROW()-3&lt;2,0,INDEX(M:M,ROW()-3))</f>
        <v>27859</v>
      </c>
      <c r="I205" cm="1">
        <f t="array" ref="I205">S204+IF(ROW()-3&lt;2,0,INDEX(N:N,ROW()-3))</f>
        <v>3265</v>
      </c>
      <c r="J205" cm="1">
        <f t="array" ref="J205">T204+IF(ROW()-3&lt;2,0,INDEX(O:O,ROW()-3))</f>
        <v>4147</v>
      </c>
      <c r="K205" cm="1">
        <f t="array" ref="K205">U204+IF(ROW()-3&lt;2,0,INDEX(P:P,ROW()-3))</f>
        <v>2980</v>
      </c>
      <c r="L205">
        <f>IF(Q205&lt;_xlfn.XLOOKUP(L$1,Capacity!$D$3:$D$7,Capacity!$E$3:$E$7),_xlfn.XLOOKUP(L$1,Capacity!$D$3:$D$7,Capacity!$F$3:$F$7)-Q205,0)</f>
        <v>0</v>
      </c>
      <c r="M205">
        <f>IF(R205&lt;_xlfn.XLOOKUP(M$1,Capacity!$D$3:$D$7,Capacity!$E$3:$E$7),_xlfn.XLOOKUP(M$1,Capacity!$D$3:$D$7,Capacity!$F$3:$F$7)-R205,0)</f>
        <v>0</v>
      </c>
      <c r="N205">
        <f>IF(S205&lt;_xlfn.XLOOKUP(N$1,Capacity!$D$3:$D$7,Capacity!$E$3:$E$7),_xlfn.XLOOKUP(N$1,Capacity!$D$3:$D$7,Capacity!$F$3:$F$7)-S205,0)</f>
        <v>0</v>
      </c>
      <c r="O205">
        <f>IF(T205&lt;_xlfn.XLOOKUP(O$1,Capacity!$D$3:$D$7,Capacity!$E$3:$E$7),_xlfn.XLOOKUP(O$1,Capacity!$D$3:$D$7,Capacity!$F$3:$F$7)-T205,0)</f>
        <v>0</v>
      </c>
      <c r="P205">
        <f>IF(U205&lt;_xlfn.XLOOKUP(P$1,Capacity!$D$3:$D$7,Capacity!$E$3:$E$7),_xlfn.XLOOKUP(P$1,Capacity!$D$3:$D$7,Capacity!$F$3:$F$7)-U205,0)</f>
        <v>0</v>
      </c>
      <c r="Q205">
        <f t="shared" si="19"/>
        <v>842</v>
      </c>
      <c r="R205">
        <f t="shared" si="20"/>
        <v>27859</v>
      </c>
      <c r="S205">
        <f t="shared" si="21"/>
        <v>3265</v>
      </c>
      <c r="T205">
        <f t="shared" si="22"/>
        <v>4147</v>
      </c>
      <c r="U205">
        <f t="shared" si="23"/>
        <v>2980</v>
      </c>
    </row>
    <row r="206" spans="1:21">
      <c r="A206" s="5">
        <f t="shared" si="24"/>
        <v>46227</v>
      </c>
      <c r="B206">
        <f>SUMIFS('Demand Projection'!$D$2:$D$169,'Demand Projection'!$B$2:$B$169,B$1,'Demand Projection'!$C$2:$C$169,$A206)</f>
        <v>985</v>
      </c>
      <c r="C206">
        <f>SUMIFS('Demand Projection'!$D$2:$D$169,'Demand Projection'!$B$2:$B$169,C$1,'Demand Projection'!$C$2:$C$169,$A206)</f>
        <v>0</v>
      </c>
      <c r="D206">
        <f>SUMIFS('Demand Projection'!$D$2:$D$169,'Demand Projection'!$B$2:$B$169,D$1,'Demand Projection'!$C$2:$C$169,$A206)</f>
        <v>0</v>
      </c>
      <c r="E206">
        <f>SUMIFS('Demand Projection'!$D$2:$D$169,'Demand Projection'!$B$2:$B$169,E$1,'Demand Projection'!$C$2:$C$169,$A206)</f>
        <v>0</v>
      </c>
      <c r="F206">
        <f>SUMIFS('Demand Projection'!$D$2:$D$169,'Demand Projection'!$B$2:$B$169,F$1,'Demand Projection'!$C$2:$C$169,$A206)</f>
        <v>0</v>
      </c>
      <c r="G206" cm="1">
        <f t="array" ref="G206">Q205+IF(ROW()-3&lt;2,0,INDEX(L:L,ROW()-3))</f>
        <v>842</v>
      </c>
      <c r="H206" cm="1">
        <f t="array" ref="H206">R205+IF(ROW()-3&lt;2,0,INDEX(M:M,ROW()-3))</f>
        <v>27859</v>
      </c>
      <c r="I206" cm="1">
        <f t="array" ref="I206">S205+IF(ROW()-3&lt;2,0,INDEX(N:N,ROW()-3))</f>
        <v>3265</v>
      </c>
      <c r="J206" cm="1">
        <f t="array" ref="J206">T205+IF(ROW()-3&lt;2,0,INDEX(O:O,ROW()-3))</f>
        <v>4147</v>
      </c>
      <c r="K206" cm="1">
        <f t="array" ref="K206">U205+IF(ROW()-3&lt;2,0,INDEX(P:P,ROW()-3))</f>
        <v>2980</v>
      </c>
      <c r="L206">
        <f>IF(Q206&lt;_xlfn.XLOOKUP(L$1,Capacity!$D$3:$D$7,Capacity!$E$3:$E$7),_xlfn.XLOOKUP(L$1,Capacity!$D$3:$D$7,Capacity!$F$3:$F$7)-Q206,0)</f>
        <v>2775</v>
      </c>
      <c r="M206">
        <f>IF(R206&lt;_xlfn.XLOOKUP(M$1,Capacity!$D$3:$D$7,Capacity!$E$3:$E$7),_xlfn.XLOOKUP(M$1,Capacity!$D$3:$D$7,Capacity!$F$3:$F$7)-R206,0)</f>
        <v>0</v>
      </c>
      <c r="N206">
        <f>IF(S206&lt;_xlfn.XLOOKUP(N$1,Capacity!$D$3:$D$7,Capacity!$E$3:$E$7),_xlfn.XLOOKUP(N$1,Capacity!$D$3:$D$7,Capacity!$F$3:$F$7)-S206,0)</f>
        <v>0</v>
      </c>
      <c r="O206">
        <f>IF(T206&lt;_xlfn.XLOOKUP(O$1,Capacity!$D$3:$D$7,Capacity!$E$3:$E$7),_xlfn.XLOOKUP(O$1,Capacity!$D$3:$D$7,Capacity!$F$3:$F$7)-T206,0)</f>
        <v>0</v>
      </c>
      <c r="P206">
        <f>IF(U206&lt;_xlfn.XLOOKUP(P$1,Capacity!$D$3:$D$7,Capacity!$E$3:$E$7),_xlfn.XLOOKUP(P$1,Capacity!$D$3:$D$7,Capacity!$F$3:$F$7)-U206,0)</f>
        <v>0</v>
      </c>
      <c r="Q206">
        <f t="shared" si="19"/>
        <v>-143</v>
      </c>
      <c r="R206">
        <f t="shared" si="20"/>
        <v>27859</v>
      </c>
      <c r="S206">
        <f t="shared" si="21"/>
        <v>3265</v>
      </c>
      <c r="T206">
        <f t="shared" si="22"/>
        <v>4147</v>
      </c>
      <c r="U206">
        <f t="shared" si="23"/>
        <v>2980</v>
      </c>
    </row>
    <row r="207" spans="1:21">
      <c r="A207" s="5">
        <f t="shared" si="24"/>
        <v>46228</v>
      </c>
      <c r="B207">
        <f>SUMIFS('Demand Projection'!$D$2:$D$169,'Demand Projection'!$B$2:$B$169,B$1,'Demand Projection'!$C$2:$C$169,$A207)</f>
        <v>0</v>
      </c>
      <c r="C207">
        <f>SUMIFS('Demand Projection'!$D$2:$D$169,'Demand Projection'!$B$2:$B$169,C$1,'Demand Projection'!$C$2:$C$169,$A207)</f>
        <v>0</v>
      </c>
      <c r="D207">
        <f>SUMIFS('Demand Projection'!$D$2:$D$169,'Demand Projection'!$B$2:$B$169,D$1,'Demand Projection'!$C$2:$C$169,$A207)</f>
        <v>0</v>
      </c>
      <c r="E207">
        <f>SUMIFS('Demand Projection'!$D$2:$D$169,'Demand Projection'!$B$2:$B$169,E$1,'Demand Projection'!$C$2:$C$169,$A207)</f>
        <v>0</v>
      </c>
      <c r="F207">
        <f>SUMIFS('Demand Projection'!$D$2:$D$169,'Demand Projection'!$B$2:$B$169,F$1,'Demand Projection'!$C$2:$C$169,$A207)</f>
        <v>0</v>
      </c>
      <c r="G207" cm="1">
        <f t="array" ref="G207">Q206+IF(ROW()-3&lt;2,0,INDEX(L:L,ROW()-3))</f>
        <v>-143</v>
      </c>
      <c r="H207" cm="1">
        <f t="array" ref="H207">R206+IF(ROW()-3&lt;2,0,INDEX(M:M,ROW()-3))</f>
        <v>27859</v>
      </c>
      <c r="I207" cm="1">
        <f t="array" ref="I207">S206+IF(ROW()-3&lt;2,0,INDEX(N:N,ROW()-3))</f>
        <v>3265</v>
      </c>
      <c r="J207" cm="1">
        <f t="array" ref="J207">T206+IF(ROW()-3&lt;2,0,INDEX(O:O,ROW()-3))</f>
        <v>4147</v>
      </c>
      <c r="K207" cm="1">
        <f t="array" ref="K207">U206+IF(ROW()-3&lt;2,0,INDEX(P:P,ROW()-3))</f>
        <v>2980</v>
      </c>
      <c r="L207">
        <f>IF(Q207&lt;_xlfn.XLOOKUP(L$1,Capacity!$D$3:$D$7,Capacity!$E$3:$E$7),_xlfn.XLOOKUP(L$1,Capacity!$D$3:$D$7,Capacity!$F$3:$F$7)-Q207,0)</f>
        <v>2775</v>
      </c>
      <c r="M207">
        <f>IF(R207&lt;_xlfn.XLOOKUP(M$1,Capacity!$D$3:$D$7,Capacity!$E$3:$E$7),_xlfn.XLOOKUP(M$1,Capacity!$D$3:$D$7,Capacity!$F$3:$F$7)-R207,0)</f>
        <v>0</v>
      </c>
      <c r="N207">
        <f>IF(S207&lt;_xlfn.XLOOKUP(N$1,Capacity!$D$3:$D$7,Capacity!$E$3:$E$7),_xlfn.XLOOKUP(N$1,Capacity!$D$3:$D$7,Capacity!$F$3:$F$7)-S207,0)</f>
        <v>0</v>
      </c>
      <c r="O207">
        <f>IF(T207&lt;_xlfn.XLOOKUP(O$1,Capacity!$D$3:$D$7,Capacity!$E$3:$E$7),_xlfn.XLOOKUP(O$1,Capacity!$D$3:$D$7,Capacity!$F$3:$F$7)-T207,0)</f>
        <v>0</v>
      </c>
      <c r="P207">
        <f>IF(U207&lt;_xlfn.XLOOKUP(P$1,Capacity!$D$3:$D$7,Capacity!$E$3:$E$7),_xlfn.XLOOKUP(P$1,Capacity!$D$3:$D$7,Capacity!$F$3:$F$7)-U207,0)</f>
        <v>0</v>
      </c>
      <c r="Q207">
        <f t="shared" si="19"/>
        <v>-143</v>
      </c>
      <c r="R207">
        <f t="shared" si="20"/>
        <v>27859</v>
      </c>
      <c r="S207">
        <f t="shared" si="21"/>
        <v>3265</v>
      </c>
      <c r="T207">
        <f t="shared" si="22"/>
        <v>4147</v>
      </c>
      <c r="U207">
        <f t="shared" si="23"/>
        <v>2980</v>
      </c>
    </row>
    <row r="208" spans="1:21">
      <c r="A208" s="5">
        <f t="shared" si="24"/>
        <v>46229</v>
      </c>
      <c r="B208">
        <f>SUMIFS('Demand Projection'!$D$2:$D$169,'Demand Projection'!$B$2:$B$169,B$1,'Demand Projection'!$C$2:$C$169,$A208)</f>
        <v>0</v>
      </c>
      <c r="C208">
        <f>SUMIFS('Demand Projection'!$D$2:$D$169,'Demand Projection'!$B$2:$B$169,C$1,'Demand Projection'!$C$2:$C$169,$A208)</f>
        <v>0</v>
      </c>
      <c r="D208">
        <f>SUMIFS('Demand Projection'!$D$2:$D$169,'Demand Projection'!$B$2:$B$169,D$1,'Demand Projection'!$C$2:$C$169,$A208)</f>
        <v>0</v>
      </c>
      <c r="E208">
        <f>SUMIFS('Demand Projection'!$D$2:$D$169,'Demand Projection'!$B$2:$B$169,E$1,'Demand Projection'!$C$2:$C$169,$A208)</f>
        <v>0</v>
      </c>
      <c r="F208">
        <f>SUMIFS('Demand Projection'!$D$2:$D$169,'Demand Projection'!$B$2:$B$169,F$1,'Demand Projection'!$C$2:$C$169,$A208)</f>
        <v>0</v>
      </c>
      <c r="G208" cm="1">
        <f t="array" ref="G208">Q207+IF(ROW()-3&lt;2,0,INDEX(L:L,ROW()-3))</f>
        <v>-143</v>
      </c>
      <c r="H208" cm="1">
        <f t="array" ref="H208">R207+IF(ROW()-3&lt;2,0,INDEX(M:M,ROW()-3))</f>
        <v>27859</v>
      </c>
      <c r="I208" cm="1">
        <f t="array" ref="I208">S207+IF(ROW()-3&lt;2,0,INDEX(N:N,ROW()-3))</f>
        <v>3265</v>
      </c>
      <c r="J208" cm="1">
        <f t="array" ref="J208">T207+IF(ROW()-3&lt;2,0,INDEX(O:O,ROW()-3))</f>
        <v>4147</v>
      </c>
      <c r="K208" cm="1">
        <f t="array" ref="K208">U207+IF(ROW()-3&lt;2,0,INDEX(P:P,ROW()-3))</f>
        <v>2980</v>
      </c>
      <c r="L208">
        <f>IF(Q208&lt;_xlfn.XLOOKUP(L$1,Capacity!$D$3:$D$7,Capacity!$E$3:$E$7),_xlfn.XLOOKUP(L$1,Capacity!$D$3:$D$7,Capacity!$F$3:$F$7)-Q208,0)</f>
        <v>2775</v>
      </c>
      <c r="M208">
        <f>IF(R208&lt;_xlfn.XLOOKUP(M$1,Capacity!$D$3:$D$7,Capacity!$E$3:$E$7),_xlfn.XLOOKUP(M$1,Capacity!$D$3:$D$7,Capacity!$F$3:$F$7)-R208,0)</f>
        <v>0</v>
      </c>
      <c r="N208">
        <f>IF(S208&lt;_xlfn.XLOOKUP(N$1,Capacity!$D$3:$D$7,Capacity!$E$3:$E$7),_xlfn.XLOOKUP(N$1,Capacity!$D$3:$D$7,Capacity!$F$3:$F$7)-S208,0)</f>
        <v>0</v>
      </c>
      <c r="O208">
        <f>IF(T208&lt;_xlfn.XLOOKUP(O$1,Capacity!$D$3:$D$7,Capacity!$E$3:$E$7),_xlfn.XLOOKUP(O$1,Capacity!$D$3:$D$7,Capacity!$F$3:$F$7)-T208,0)</f>
        <v>0</v>
      </c>
      <c r="P208">
        <f>IF(U208&lt;_xlfn.XLOOKUP(P$1,Capacity!$D$3:$D$7,Capacity!$E$3:$E$7),_xlfn.XLOOKUP(P$1,Capacity!$D$3:$D$7,Capacity!$F$3:$F$7)-U208,0)</f>
        <v>0</v>
      </c>
      <c r="Q208">
        <f t="shared" si="19"/>
        <v>-143</v>
      </c>
      <c r="R208">
        <f t="shared" si="20"/>
        <v>27859</v>
      </c>
      <c r="S208">
        <f t="shared" si="21"/>
        <v>3265</v>
      </c>
      <c r="T208">
        <f t="shared" si="22"/>
        <v>4147</v>
      </c>
      <c r="U208">
        <f t="shared" si="23"/>
        <v>2980</v>
      </c>
    </row>
    <row r="209" spans="1:21">
      <c r="A209" s="5">
        <f t="shared" si="24"/>
        <v>46230</v>
      </c>
      <c r="B209">
        <f>SUMIFS('Demand Projection'!$D$2:$D$169,'Demand Projection'!$B$2:$B$169,B$1,'Demand Projection'!$C$2:$C$169,$A209)</f>
        <v>0</v>
      </c>
      <c r="C209">
        <f>SUMIFS('Demand Projection'!$D$2:$D$169,'Demand Projection'!$B$2:$B$169,C$1,'Demand Projection'!$C$2:$C$169,$A209)</f>
        <v>0</v>
      </c>
      <c r="D209">
        <f>SUMIFS('Demand Projection'!$D$2:$D$169,'Demand Projection'!$B$2:$B$169,D$1,'Demand Projection'!$C$2:$C$169,$A209)</f>
        <v>0</v>
      </c>
      <c r="E209">
        <f>SUMIFS('Demand Projection'!$D$2:$D$169,'Demand Projection'!$B$2:$B$169,E$1,'Demand Projection'!$C$2:$C$169,$A209)</f>
        <v>0</v>
      </c>
      <c r="F209">
        <f>SUMIFS('Demand Projection'!$D$2:$D$169,'Demand Projection'!$B$2:$B$169,F$1,'Demand Projection'!$C$2:$C$169,$A209)</f>
        <v>0</v>
      </c>
      <c r="G209" cm="1">
        <f t="array" ref="G209">Q208+IF(ROW()-3&lt;2,0,INDEX(L:L,ROW()-3))</f>
        <v>2632</v>
      </c>
      <c r="H209" cm="1">
        <f t="array" ref="H209">R208+IF(ROW()-3&lt;2,0,INDEX(M:M,ROW()-3))</f>
        <v>27859</v>
      </c>
      <c r="I209" cm="1">
        <f t="array" ref="I209">S208+IF(ROW()-3&lt;2,0,INDEX(N:N,ROW()-3))</f>
        <v>3265</v>
      </c>
      <c r="J209" cm="1">
        <f t="array" ref="J209">T208+IF(ROW()-3&lt;2,0,INDEX(O:O,ROW()-3))</f>
        <v>4147</v>
      </c>
      <c r="K209" cm="1">
        <f t="array" ref="K209">U208+IF(ROW()-3&lt;2,0,INDEX(P:P,ROW()-3))</f>
        <v>2980</v>
      </c>
      <c r="L209">
        <f>IF(Q209&lt;_xlfn.XLOOKUP(L$1,Capacity!$D$3:$D$7,Capacity!$E$3:$E$7),_xlfn.XLOOKUP(L$1,Capacity!$D$3:$D$7,Capacity!$F$3:$F$7)-Q209,0)</f>
        <v>0</v>
      </c>
      <c r="M209">
        <f>IF(R209&lt;_xlfn.XLOOKUP(M$1,Capacity!$D$3:$D$7,Capacity!$E$3:$E$7),_xlfn.XLOOKUP(M$1,Capacity!$D$3:$D$7,Capacity!$F$3:$F$7)-R209,0)</f>
        <v>0</v>
      </c>
      <c r="N209">
        <f>IF(S209&lt;_xlfn.XLOOKUP(N$1,Capacity!$D$3:$D$7,Capacity!$E$3:$E$7),_xlfn.XLOOKUP(N$1,Capacity!$D$3:$D$7,Capacity!$F$3:$F$7)-S209,0)</f>
        <v>0</v>
      </c>
      <c r="O209">
        <f>IF(T209&lt;_xlfn.XLOOKUP(O$1,Capacity!$D$3:$D$7,Capacity!$E$3:$E$7),_xlfn.XLOOKUP(O$1,Capacity!$D$3:$D$7,Capacity!$F$3:$F$7)-T209,0)</f>
        <v>0</v>
      </c>
      <c r="P209">
        <f>IF(U209&lt;_xlfn.XLOOKUP(P$1,Capacity!$D$3:$D$7,Capacity!$E$3:$E$7),_xlfn.XLOOKUP(P$1,Capacity!$D$3:$D$7,Capacity!$F$3:$F$7)-U209,0)</f>
        <v>0</v>
      </c>
      <c r="Q209">
        <f t="shared" si="19"/>
        <v>2632</v>
      </c>
      <c r="R209">
        <f t="shared" si="20"/>
        <v>27859</v>
      </c>
      <c r="S209">
        <f t="shared" si="21"/>
        <v>3265</v>
      </c>
      <c r="T209">
        <f t="shared" si="22"/>
        <v>4147</v>
      </c>
      <c r="U209">
        <f t="shared" si="23"/>
        <v>2980</v>
      </c>
    </row>
    <row r="210" spans="1:21">
      <c r="A210" s="5">
        <f t="shared" si="24"/>
        <v>46231</v>
      </c>
      <c r="B210">
        <f>SUMIFS('Demand Projection'!$D$2:$D$169,'Demand Projection'!$B$2:$B$169,B$1,'Demand Projection'!$C$2:$C$169,$A210)</f>
        <v>0</v>
      </c>
      <c r="C210">
        <f>SUMIFS('Demand Projection'!$D$2:$D$169,'Demand Projection'!$B$2:$B$169,C$1,'Demand Projection'!$C$2:$C$169,$A210)</f>
        <v>0</v>
      </c>
      <c r="D210">
        <f>SUMIFS('Demand Projection'!$D$2:$D$169,'Demand Projection'!$B$2:$B$169,D$1,'Demand Projection'!$C$2:$C$169,$A210)</f>
        <v>0</v>
      </c>
      <c r="E210">
        <f>SUMIFS('Demand Projection'!$D$2:$D$169,'Demand Projection'!$B$2:$B$169,E$1,'Demand Projection'!$C$2:$C$169,$A210)</f>
        <v>2949</v>
      </c>
      <c r="F210">
        <f>SUMIFS('Demand Projection'!$D$2:$D$169,'Demand Projection'!$B$2:$B$169,F$1,'Demand Projection'!$C$2:$C$169,$A210)</f>
        <v>1967</v>
      </c>
      <c r="G210" cm="1">
        <f t="array" ref="G210">Q209+IF(ROW()-3&lt;2,0,INDEX(L:L,ROW()-3))</f>
        <v>5407</v>
      </c>
      <c r="H210" cm="1">
        <f t="array" ref="H210">R209+IF(ROW()-3&lt;2,0,INDEX(M:M,ROW()-3))</f>
        <v>27859</v>
      </c>
      <c r="I210" cm="1">
        <f t="array" ref="I210">S209+IF(ROW()-3&lt;2,0,INDEX(N:N,ROW()-3))</f>
        <v>3265</v>
      </c>
      <c r="J210" cm="1">
        <f t="array" ref="J210">T209+IF(ROW()-3&lt;2,0,INDEX(O:O,ROW()-3))</f>
        <v>4147</v>
      </c>
      <c r="K210" cm="1">
        <f t="array" ref="K210">U209+IF(ROW()-3&lt;2,0,INDEX(P:P,ROW()-3))</f>
        <v>2980</v>
      </c>
      <c r="L210">
        <f>IF(Q210&lt;_xlfn.XLOOKUP(L$1,Capacity!$D$3:$D$7,Capacity!$E$3:$E$7),_xlfn.XLOOKUP(L$1,Capacity!$D$3:$D$7,Capacity!$F$3:$F$7)-Q210,0)</f>
        <v>0</v>
      </c>
      <c r="M210">
        <f>IF(R210&lt;_xlfn.XLOOKUP(M$1,Capacity!$D$3:$D$7,Capacity!$E$3:$E$7),_xlfn.XLOOKUP(M$1,Capacity!$D$3:$D$7,Capacity!$F$3:$F$7)-R210,0)</f>
        <v>0</v>
      </c>
      <c r="N210">
        <f>IF(S210&lt;_xlfn.XLOOKUP(N$1,Capacity!$D$3:$D$7,Capacity!$E$3:$E$7),_xlfn.XLOOKUP(N$1,Capacity!$D$3:$D$7,Capacity!$F$3:$F$7)-S210,0)</f>
        <v>0</v>
      </c>
      <c r="O210">
        <f>IF(T210&lt;_xlfn.XLOOKUP(O$1,Capacity!$D$3:$D$7,Capacity!$E$3:$E$7),_xlfn.XLOOKUP(O$1,Capacity!$D$3:$D$7,Capacity!$F$3:$F$7)-T210,0)</f>
        <v>0</v>
      </c>
      <c r="P210">
        <f>IF(U210&lt;_xlfn.XLOOKUP(P$1,Capacity!$D$3:$D$7,Capacity!$E$3:$E$7),_xlfn.XLOOKUP(P$1,Capacity!$D$3:$D$7,Capacity!$F$3:$F$7)-U210,0)</f>
        <v>0</v>
      </c>
      <c r="Q210">
        <f t="shared" si="19"/>
        <v>5407</v>
      </c>
      <c r="R210">
        <f t="shared" si="20"/>
        <v>27859</v>
      </c>
      <c r="S210">
        <f t="shared" si="21"/>
        <v>3265</v>
      </c>
      <c r="T210">
        <f t="shared" si="22"/>
        <v>1198</v>
      </c>
      <c r="U210">
        <f t="shared" si="23"/>
        <v>1013</v>
      </c>
    </row>
    <row r="211" spans="1:21">
      <c r="A211" s="5">
        <f t="shared" si="24"/>
        <v>46232</v>
      </c>
      <c r="B211">
        <f>SUMIFS('Demand Projection'!$D$2:$D$169,'Demand Projection'!$B$2:$B$169,B$1,'Demand Projection'!$C$2:$C$169,$A211)</f>
        <v>0</v>
      </c>
      <c r="C211">
        <f>SUMIFS('Demand Projection'!$D$2:$D$169,'Demand Projection'!$B$2:$B$169,C$1,'Demand Projection'!$C$2:$C$169,$A211)</f>
        <v>0</v>
      </c>
      <c r="D211">
        <f>SUMIFS('Demand Projection'!$D$2:$D$169,'Demand Projection'!$B$2:$B$169,D$1,'Demand Projection'!$C$2:$C$169,$A211)</f>
        <v>0</v>
      </c>
      <c r="E211">
        <f>SUMIFS('Demand Projection'!$D$2:$D$169,'Demand Projection'!$B$2:$B$169,E$1,'Demand Projection'!$C$2:$C$169,$A211)</f>
        <v>0</v>
      </c>
      <c r="F211">
        <f>SUMIFS('Demand Projection'!$D$2:$D$169,'Demand Projection'!$B$2:$B$169,F$1,'Demand Projection'!$C$2:$C$169,$A211)</f>
        <v>0</v>
      </c>
      <c r="G211" cm="1">
        <f t="array" ref="G211">Q210+IF(ROW()-3&lt;2,0,INDEX(L:L,ROW()-3))</f>
        <v>8182</v>
      </c>
      <c r="H211" cm="1">
        <f t="array" ref="H211">R210+IF(ROW()-3&lt;2,0,INDEX(M:M,ROW()-3))</f>
        <v>27859</v>
      </c>
      <c r="I211" cm="1">
        <f t="array" ref="I211">S210+IF(ROW()-3&lt;2,0,INDEX(N:N,ROW()-3))</f>
        <v>3265</v>
      </c>
      <c r="J211" cm="1">
        <f t="array" ref="J211">T210+IF(ROW()-3&lt;2,0,INDEX(O:O,ROW()-3))</f>
        <v>1198</v>
      </c>
      <c r="K211" cm="1">
        <f t="array" ref="K211">U210+IF(ROW()-3&lt;2,0,INDEX(P:P,ROW()-3))</f>
        <v>1013</v>
      </c>
      <c r="L211">
        <f>IF(Q211&lt;_xlfn.XLOOKUP(L$1,Capacity!$D$3:$D$7,Capacity!$E$3:$E$7),_xlfn.XLOOKUP(L$1,Capacity!$D$3:$D$7,Capacity!$F$3:$F$7)-Q211,0)</f>
        <v>0</v>
      </c>
      <c r="M211">
        <f>IF(R211&lt;_xlfn.XLOOKUP(M$1,Capacity!$D$3:$D$7,Capacity!$E$3:$E$7),_xlfn.XLOOKUP(M$1,Capacity!$D$3:$D$7,Capacity!$F$3:$F$7)-R211,0)</f>
        <v>0</v>
      </c>
      <c r="N211">
        <f>IF(S211&lt;_xlfn.XLOOKUP(N$1,Capacity!$D$3:$D$7,Capacity!$E$3:$E$7),_xlfn.XLOOKUP(N$1,Capacity!$D$3:$D$7,Capacity!$F$3:$F$7)-S211,0)</f>
        <v>0</v>
      </c>
      <c r="O211">
        <f>IF(T211&lt;_xlfn.XLOOKUP(O$1,Capacity!$D$3:$D$7,Capacity!$E$3:$E$7),_xlfn.XLOOKUP(O$1,Capacity!$D$3:$D$7,Capacity!$F$3:$F$7)-T211,0)</f>
        <v>0</v>
      </c>
      <c r="P211">
        <f>IF(U211&lt;_xlfn.XLOOKUP(P$1,Capacity!$D$3:$D$7,Capacity!$E$3:$E$7),_xlfn.XLOOKUP(P$1,Capacity!$D$3:$D$7,Capacity!$F$3:$F$7)-U211,0)</f>
        <v>0</v>
      </c>
      <c r="Q211">
        <f t="shared" si="19"/>
        <v>8182</v>
      </c>
      <c r="R211">
        <f t="shared" si="20"/>
        <v>27859</v>
      </c>
      <c r="S211">
        <f t="shared" si="21"/>
        <v>3265</v>
      </c>
      <c r="T211">
        <f t="shared" si="22"/>
        <v>1198</v>
      </c>
      <c r="U211">
        <f t="shared" si="23"/>
        <v>1013</v>
      </c>
    </row>
    <row r="212" spans="1:21">
      <c r="A212" s="5">
        <f t="shared" si="24"/>
        <v>46233</v>
      </c>
      <c r="B212">
        <f>SUMIFS('Demand Projection'!$D$2:$D$169,'Demand Projection'!$B$2:$B$169,B$1,'Demand Projection'!$C$2:$C$169,$A212)</f>
        <v>0</v>
      </c>
      <c r="C212">
        <f>SUMIFS('Demand Projection'!$D$2:$D$169,'Demand Projection'!$B$2:$B$169,C$1,'Demand Projection'!$C$2:$C$169,$A212)</f>
        <v>0</v>
      </c>
      <c r="D212">
        <f>SUMIFS('Demand Projection'!$D$2:$D$169,'Demand Projection'!$B$2:$B$169,D$1,'Demand Projection'!$C$2:$C$169,$A212)</f>
        <v>0</v>
      </c>
      <c r="E212">
        <f>SUMIFS('Demand Projection'!$D$2:$D$169,'Demand Projection'!$B$2:$B$169,E$1,'Demand Projection'!$C$2:$C$169,$A212)</f>
        <v>0</v>
      </c>
      <c r="F212">
        <f>SUMIFS('Demand Projection'!$D$2:$D$169,'Demand Projection'!$B$2:$B$169,F$1,'Demand Projection'!$C$2:$C$169,$A212)</f>
        <v>0</v>
      </c>
      <c r="G212" cm="1">
        <f t="array" ref="G212">Q211+IF(ROW()-3&lt;2,0,INDEX(L:L,ROW()-3))</f>
        <v>8182</v>
      </c>
      <c r="H212" cm="1">
        <f t="array" ref="H212">R211+IF(ROW()-3&lt;2,0,INDEX(M:M,ROW()-3))</f>
        <v>27859</v>
      </c>
      <c r="I212" cm="1">
        <f t="array" ref="I212">S211+IF(ROW()-3&lt;2,0,INDEX(N:N,ROW()-3))</f>
        <v>3265</v>
      </c>
      <c r="J212" cm="1">
        <f t="array" ref="J212">T211+IF(ROW()-3&lt;2,0,INDEX(O:O,ROW()-3))</f>
        <v>1198</v>
      </c>
      <c r="K212" cm="1">
        <f t="array" ref="K212">U211+IF(ROW()-3&lt;2,0,INDEX(P:P,ROW()-3))</f>
        <v>1013</v>
      </c>
      <c r="L212">
        <f>IF(Q212&lt;_xlfn.XLOOKUP(L$1,Capacity!$D$3:$D$7,Capacity!$E$3:$E$7),_xlfn.XLOOKUP(L$1,Capacity!$D$3:$D$7,Capacity!$F$3:$F$7)-Q212,0)</f>
        <v>0</v>
      </c>
      <c r="M212">
        <f>IF(R212&lt;_xlfn.XLOOKUP(M$1,Capacity!$D$3:$D$7,Capacity!$E$3:$E$7),_xlfn.XLOOKUP(M$1,Capacity!$D$3:$D$7,Capacity!$F$3:$F$7)-R212,0)</f>
        <v>0</v>
      </c>
      <c r="N212">
        <f>IF(S212&lt;_xlfn.XLOOKUP(N$1,Capacity!$D$3:$D$7,Capacity!$E$3:$E$7),_xlfn.XLOOKUP(N$1,Capacity!$D$3:$D$7,Capacity!$F$3:$F$7)-S212,0)</f>
        <v>0</v>
      </c>
      <c r="O212">
        <f>IF(T212&lt;_xlfn.XLOOKUP(O$1,Capacity!$D$3:$D$7,Capacity!$E$3:$E$7),_xlfn.XLOOKUP(O$1,Capacity!$D$3:$D$7,Capacity!$F$3:$F$7)-T212,0)</f>
        <v>0</v>
      </c>
      <c r="P212">
        <f>IF(U212&lt;_xlfn.XLOOKUP(P$1,Capacity!$D$3:$D$7,Capacity!$E$3:$E$7),_xlfn.XLOOKUP(P$1,Capacity!$D$3:$D$7,Capacity!$F$3:$F$7)-U212,0)</f>
        <v>0</v>
      </c>
      <c r="Q212">
        <f t="shared" si="19"/>
        <v>8182</v>
      </c>
      <c r="R212">
        <f t="shared" si="20"/>
        <v>27859</v>
      </c>
      <c r="S212">
        <f t="shared" si="21"/>
        <v>3265</v>
      </c>
      <c r="T212">
        <f t="shared" si="22"/>
        <v>1198</v>
      </c>
      <c r="U212">
        <f t="shared" si="23"/>
        <v>1013</v>
      </c>
    </row>
    <row r="213" spans="1:21">
      <c r="A213" s="5">
        <f t="shared" si="24"/>
        <v>46234</v>
      </c>
      <c r="B213">
        <f>SUMIFS('Demand Projection'!$D$2:$D$169,'Demand Projection'!$B$2:$B$169,B$1,'Demand Projection'!$C$2:$C$169,$A213)</f>
        <v>0</v>
      </c>
      <c r="C213">
        <f>SUMIFS('Demand Projection'!$D$2:$D$169,'Demand Projection'!$B$2:$B$169,C$1,'Demand Projection'!$C$2:$C$169,$A213)</f>
        <v>0</v>
      </c>
      <c r="D213">
        <f>SUMIFS('Demand Projection'!$D$2:$D$169,'Demand Projection'!$B$2:$B$169,D$1,'Demand Projection'!$C$2:$C$169,$A213)</f>
        <v>0</v>
      </c>
      <c r="E213">
        <f>SUMIFS('Demand Projection'!$D$2:$D$169,'Demand Projection'!$B$2:$B$169,E$1,'Demand Projection'!$C$2:$C$169,$A213)</f>
        <v>0</v>
      </c>
      <c r="F213">
        <f>SUMIFS('Demand Projection'!$D$2:$D$169,'Demand Projection'!$B$2:$B$169,F$1,'Demand Projection'!$C$2:$C$169,$A213)</f>
        <v>0</v>
      </c>
      <c r="G213" cm="1">
        <f t="array" ref="G213">Q212+IF(ROW()-3&lt;2,0,INDEX(L:L,ROW()-3))</f>
        <v>8182</v>
      </c>
      <c r="H213" cm="1">
        <f t="array" ref="H213">R212+IF(ROW()-3&lt;2,0,INDEX(M:M,ROW()-3))</f>
        <v>27859</v>
      </c>
      <c r="I213" cm="1">
        <f t="array" ref="I213">S212+IF(ROW()-3&lt;2,0,INDEX(N:N,ROW()-3))</f>
        <v>3265</v>
      </c>
      <c r="J213" cm="1">
        <f t="array" ref="J213">T212+IF(ROW()-3&lt;2,0,INDEX(O:O,ROW()-3))</f>
        <v>1198</v>
      </c>
      <c r="K213" cm="1">
        <f t="array" ref="K213">U212+IF(ROW()-3&lt;2,0,INDEX(P:P,ROW()-3))</f>
        <v>1013</v>
      </c>
      <c r="L213">
        <f>IF(Q213&lt;_xlfn.XLOOKUP(L$1,Capacity!$D$3:$D$7,Capacity!$E$3:$E$7),_xlfn.XLOOKUP(L$1,Capacity!$D$3:$D$7,Capacity!$F$3:$F$7)-Q213,0)</f>
        <v>0</v>
      </c>
      <c r="M213">
        <f>IF(R213&lt;_xlfn.XLOOKUP(M$1,Capacity!$D$3:$D$7,Capacity!$E$3:$E$7),_xlfn.XLOOKUP(M$1,Capacity!$D$3:$D$7,Capacity!$F$3:$F$7)-R213,0)</f>
        <v>0</v>
      </c>
      <c r="N213">
        <f>IF(S213&lt;_xlfn.XLOOKUP(N$1,Capacity!$D$3:$D$7,Capacity!$E$3:$E$7),_xlfn.XLOOKUP(N$1,Capacity!$D$3:$D$7,Capacity!$F$3:$F$7)-S213,0)</f>
        <v>0</v>
      </c>
      <c r="O213">
        <f>IF(T213&lt;_xlfn.XLOOKUP(O$1,Capacity!$D$3:$D$7,Capacity!$E$3:$E$7),_xlfn.XLOOKUP(O$1,Capacity!$D$3:$D$7,Capacity!$F$3:$F$7)-T213,0)</f>
        <v>0</v>
      </c>
      <c r="P213">
        <f>IF(U213&lt;_xlfn.XLOOKUP(P$1,Capacity!$D$3:$D$7,Capacity!$E$3:$E$7),_xlfn.XLOOKUP(P$1,Capacity!$D$3:$D$7,Capacity!$F$3:$F$7)-U213,0)</f>
        <v>0</v>
      </c>
      <c r="Q213">
        <f t="shared" si="19"/>
        <v>8182</v>
      </c>
      <c r="R213">
        <f t="shared" si="20"/>
        <v>27859</v>
      </c>
      <c r="S213">
        <f t="shared" si="21"/>
        <v>3265</v>
      </c>
      <c r="T213">
        <f t="shared" si="22"/>
        <v>1198</v>
      </c>
      <c r="U213">
        <f t="shared" si="23"/>
        <v>1013</v>
      </c>
    </row>
    <row r="214" spans="1:21">
      <c r="A214" s="5">
        <f t="shared" si="24"/>
        <v>46235</v>
      </c>
      <c r="B214">
        <f>SUMIFS('Demand Projection'!$D$2:$D$169,'Demand Projection'!$B$2:$B$169,B$1,'Demand Projection'!$C$2:$C$169,$A214)</f>
        <v>0</v>
      </c>
      <c r="C214">
        <f>SUMIFS('Demand Projection'!$D$2:$D$169,'Demand Projection'!$B$2:$B$169,C$1,'Demand Projection'!$C$2:$C$169,$A214)</f>
        <v>0</v>
      </c>
      <c r="D214">
        <f>SUMIFS('Demand Projection'!$D$2:$D$169,'Demand Projection'!$B$2:$B$169,D$1,'Demand Projection'!$C$2:$C$169,$A214)</f>
        <v>0</v>
      </c>
      <c r="E214">
        <f>SUMIFS('Demand Projection'!$D$2:$D$169,'Demand Projection'!$B$2:$B$169,E$1,'Demand Projection'!$C$2:$C$169,$A214)</f>
        <v>0</v>
      </c>
      <c r="F214">
        <f>SUMIFS('Demand Projection'!$D$2:$D$169,'Demand Projection'!$B$2:$B$169,F$1,'Demand Projection'!$C$2:$C$169,$A214)</f>
        <v>0</v>
      </c>
      <c r="G214" cm="1">
        <f t="array" ref="G214">Q213+IF(ROW()-3&lt;2,0,INDEX(L:L,ROW()-3))</f>
        <v>8182</v>
      </c>
      <c r="H214" cm="1">
        <f t="array" ref="H214">R213+IF(ROW()-3&lt;2,0,INDEX(M:M,ROW()-3))</f>
        <v>27859</v>
      </c>
      <c r="I214" cm="1">
        <f t="array" ref="I214">S213+IF(ROW()-3&lt;2,0,INDEX(N:N,ROW()-3))</f>
        <v>3265</v>
      </c>
      <c r="J214" cm="1">
        <f t="array" ref="J214">T213+IF(ROW()-3&lt;2,0,INDEX(O:O,ROW()-3))</f>
        <v>1198</v>
      </c>
      <c r="K214" cm="1">
        <f t="array" ref="K214">U213+IF(ROW()-3&lt;2,0,INDEX(P:P,ROW()-3))</f>
        <v>1013</v>
      </c>
      <c r="L214">
        <f>IF(Q214&lt;_xlfn.XLOOKUP(L$1,Capacity!$D$3:$D$7,Capacity!$E$3:$E$7),_xlfn.XLOOKUP(L$1,Capacity!$D$3:$D$7,Capacity!$F$3:$F$7)-Q214,0)</f>
        <v>0</v>
      </c>
      <c r="M214">
        <f>IF(R214&lt;_xlfn.XLOOKUP(M$1,Capacity!$D$3:$D$7,Capacity!$E$3:$E$7),_xlfn.XLOOKUP(M$1,Capacity!$D$3:$D$7,Capacity!$F$3:$F$7)-R214,0)</f>
        <v>0</v>
      </c>
      <c r="N214">
        <f>IF(S214&lt;_xlfn.XLOOKUP(N$1,Capacity!$D$3:$D$7,Capacity!$E$3:$E$7),_xlfn.XLOOKUP(N$1,Capacity!$D$3:$D$7,Capacity!$F$3:$F$7)-S214,0)</f>
        <v>0</v>
      </c>
      <c r="O214">
        <f>IF(T214&lt;_xlfn.XLOOKUP(O$1,Capacity!$D$3:$D$7,Capacity!$E$3:$E$7),_xlfn.XLOOKUP(O$1,Capacity!$D$3:$D$7,Capacity!$F$3:$F$7)-T214,0)</f>
        <v>0</v>
      </c>
      <c r="P214">
        <f>IF(U214&lt;_xlfn.XLOOKUP(P$1,Capacity!$D$3:$D$7,Capacity!$E$3:$E$7),_xlfn.XLOOKUP(P$1,Capacity!$D$3:$D$7,Capacity!$F$3:$F$7)-U214,0)</f>
        <v>0</v>
      </c>
      <c r="Q214">
        <f t="shared" si="19"/>
        <v>8182</v>
      </c>
      <c r="R214">
        <f t="shared" si="20"/>
        <v>27859</v>
      </c>
      <c r="S214">
        <f t="shared" si="21"/>
        <v>3265</v>
      </c>
      <c r="T214">
        <f t="shared" si="22"/>
        <v>1198</v>
      </c>
      <c r="U214">
        <f t="shared" si="23"/>
        <v>1013</v>
      </c>
    </row>
    <row r="215" spans="1:21">
      <c r="A215" s="5">
        <f t="shared" si="24"/>
        <v>46236</v>
      </c>
      <c r="B215">
        <f>SUMIFS('Demand Projection'!$D$2:$D$169,'Demand Projection'!$B$2:$B$169,B$1,'Demand Projection'!$C$2:$C$169,$A215)</f>
        <v>0</v>
      </c>
      <c r="C215">
        <f>SUMIFS('Demand Projection'!$D$2:$D$169,'Demand Projection'!$B$2:$B$169,C$1,'Demand Projection'!$C$2:$C$169,$A215)</f>
        <v>0</v>
      </c>
      <c r="D215">
        <f>SUMIFS('Demand Projection'!$D$2:$D$169,'Demand Projection'!$B$2:$B$169,D$1,'Demand Projection'!$C$2:$C$169,$A215)</f>
        <v>0</v>
      </c>
      <c r="E215">
        <f>SUMIFS('Demand Projection'!$D$2:$D$169,'Demand Projection'!$B$2:$B$169,E$1,'Demand Projection'!$C$2:$C$169,$A215)</f>
        <v>0</v>
      </c>
      <c r="F215">
        <f>SUMIFS('Demand Projection'!$D$2:$D$169,'Demand Projection'!$B$2:$B$169,F$1,'Demand Projection'!$C$2:$C$169,$A215)</f>
        <v>0</v>
      </c>
      <c r="G215" cm="1">
        <f t="array" ref="G215">Q214+IF(ROW()-3&lt;2,0,INDEX(L:L,ROW()-3))</f>
        <v>8182</v>
      </c>
      <c r="H215" cm="1">
        <f t="array" ref="H215">R214+IF(ROW()-3&lt;2,0,INDEX(M:M,ROW()-3))</f>
        <v>27859</v>
      </c>
      <c r="I215" cm="1">
        <f t="array" ref="I215">S214+IF(ROW()-3&lt;2,0,INDEX(N:N,ROW()-3))</f>
        <v>3265</v>
      </c>
      <c r="J215" cm="1">
        <f t="array" ref="J215">T214+IF(ROW()-3&lt;2,0,INDEX(O:O,ROW()-3))</f>
        <v>1198</v>
      </c>
      <c r="K215" cm="1">
        <f t="array" ref="K215">U214+IF(ROW()-3&lt;2,0,INDEX(P:P,ROW()-3))</f>
        <v>1013</v>
      </c>
      <c r="L215">
        <f>IF(Q215&lt;_xlfn.XLOOKUP(L$1,Capacity!$D$3:$D$7,Capacity!$E$3:$E$7),_xlfn.XLOOKUP(L$1,Capacity!$D$3:$D$7,Capacity!$F$3:$F$7)-Q215,0)</f>
        <v>0</v>
      </c>
      <c r="M215">
        <f>IF(R215&lt;_xlfn.XLOOKUP(M$1,Capacity!$D$3:$D$7,Capacity!$E$3:$E$7),_xlfn.XLOOKUP(M$1,Capacity!$D$3:$D$7,Capacity!$F$3:$F$7)-R215,0)</f>
        <v>0</v>
      </c>
      <c r="N215">
        <f>IF(S215&lt;_xlfn.XLOOKUP(N$1,Capacity!$D$3:$D$7,Capacity!$E$3:$E$7),_xlfn.XLOOKUP(N$1,Capacity!$D$3:$D$7,Capacity!$F$3:$F$7)-S215,0)</f>
        <v>0</v>
      </c>
      <c r="O215">
        <f>IF(T215&lt;_xlfn.XLOOKUP(O$1,Capacity!$D$3:$D$7,Capacity!$E$3:$E$7),_xlfn.XLOOKUP(O$1,Capacity!$D$3:$D$7,Capacity!$F$3:$F$7)-T215,0)</f>
        <v>0</v>
      </c>
      <c r="P215">
        <f>IF(U215&lt;_xlfn.XLOOKUP(P$1,Capacity!$D$3:$D$7,Capacity!$E$3:$E$7),_xlfn.XLOOKUP(P$1,Capacity!$D$3:$D$7,Capacity!$F$3:$F$7)-U215,0)</f>
        <v>0</v>
      </c>
      <c r="Q215">
        <f t="shared" si="19"/>
        <v>8182</v>
      </c>
      <c r="R215">
        <f t="shared" si="20"/>
        <v>27859</v>
      </c>
      <c r="S215">
        <f t="shared" si="21"/>
        <v>3265</v>
      </c>
      <c r="T215">
        <f t="shared" si="22"/>
        <v>1198</v>
      </c>
      <c r="U215">
        <f t="shared" si="23"/>
        <v>1013</v>
      </c>
    </row>
    <row r="216" spans="1:21">
      <c r="A216" s="5">
        <f t="shared" si="24"/>
        <v>46237</v>
      </c>
      <c r="B216">
        <f>SUMIFS('Demand Projection'!$D$2:$D$169,'Demand Projection'!$B$2:$B$169,B$1,'Demand Projection'!$C$2:$C$169,$A216)</f>
        <v>932</v>
      </c>
      <c r="C216">
        <f>SUMIFS('Demand Projection'!$D$2:$D$169,'Demand Projection'!$B$2:$B$169,C$1,'Demand Projection'!$C$2:$C$169,$A216)</f>
        <v>5585</v>
      </c>
      <c r="D216">
        <f>SUMIFS('Demand Projection'!$D$2:$D$169,'Demand Projection'!$B$2:$B$169,D$1,'Demand Projection'!$C$2:$C$169,$A216)</f>
        <v>0</v>
      </c>
      <c r="E216">
        <f>SUMIFS('Demand Projection'!$D$2:$D$169,'Demand Projection'!$B$2:$B$169,E$1,'Demand Projection'!$C$2:$C$169,$A216)</f>
        <v>0</v>
      </c>
      <c r="F216">
        <f>SUMIFS('Demand Projection'!$D$2:$D$169,'Demand Projection'!$B$2:$B$169,F$1,'Demand Projection'!$C$2:$C$169,$A216)</f>
        <v>0</v>
      </c>
      <c r="G216" cm="1">
        <f t="array" ref="G216">Q215+IF(ROW()-3&lt;2,0,INDEX(L:L,ROW()-3))</f>
        <v>8182</v>
      </c>
      <c r="H216" cm="1">
        <f t="array" ref="H216">R215+IF(ROW()-3&lt;2,0,INDEX(M:M,ROW()-3))</f>
        <v>27859</v>
      </c>
      <c r="I216" cm="1">
        <f t="array" ref="I216">S215+IF(ROW()-3&lt;2,0,INDEX(N:N,ROW()-3))</f>
        <v>3265</v>
      </c>
      <c r="J216" cm="1">
        <f t="array" ref="J216">T215+IF(ROW()-3&lt;2,0,INDEX(O:O,ROW()-3))</f>
        <v>1198</v>
      </c>
      <c r="K216" cm="1">
        <f t="array" ref="K216">U215+IF(ROW()-3&lt;2,0,INDEX(P:P,ROW()-3))</f>
        <v>1013</v>
      </c>
      <c r="L216">
        <f>IF(Q216&lt;_xlfn.XLOOKUP(L$1,Capacity!$D$3:$D$7,Capacity!$E$3:$E$7),_xlfn.XLOOKUP(L$1,Capacity!$D$3:$D$7,Capacity!$F$3:$F$7)-Q216,0)</f>
        <v>0</v>
      </c>
      <c r="M216">
        <f>IF(R216&lt;_xlfn.XLOOKUP(M$1,Capacity!$D$3:$D$7,Capacity!$E$3:$E$7),_xlfn.XLOOKUP(M$1,Capacity!$D$3:$D$7,Capacity!$F$3:$F$7)-R216,0)</f>
        <v>0</v>
      </c>
      <c r="N216">
        <f>IF(S216&lt;_xlfn.XLOOKUP(N$1,Capacity!$D$3:$D$7,Capacity!$E$3:$E$7),_xlfn.XLOOKUP(N$1,Capacity!$D$3:$D$7,Capacity!$F$3:$F$7)-S216,0)</f>
        <v>0</v>
      </c>
      <c r="O216">
        <f>IF(T216&lt;_xlfn.XLOOKUP(O$1,Capacity!$D$3:$D$7,Capacity!$E$3:$E$7),_xlfn.XLOOKUP(O$1,Capacity!$D$3:$D$7,Capacity!$F$3:$F$7)-T216,0)</f>
        <v>0</v>
      </c>
      <c r="P216">
        <f>IF(U216&lt;_xlfn.XLOOKUP(P$1,Capacity!$D$3:$D$7,Capacity!$E$3:$E$7),_xlfn.XLOOKUP(P$1,Capacity!$D$3:$D$7,Capacity!$F$3:$F$7)-U216,0)</f>
        <v>0</v>
      </c>
      <c r="Q216">
        <f t="shared" si="19"/>
        <v>7250</v>
      </c>
      <c r="R216">
        <f t="shared" si="20"/>
        <v>22274</v>
      </c>
      <c r="S216">
        <f t="shared" si="21"/>
        <v>3265</v>
      </c>
      <c r="T216">
        <f t="shared" si="22"/>
        <v>1198</v>
      </c>
      <c r="U216">
        <f t="shared" si="23"/>
        <v>1013</v>
      </c>
    </row>
    <row r="217" spans="1:21">
      <c r="A217" s="5">
        <f t="shared" si="24"/>
        <v>46238</v>
      </c>
      <c r="B217">
        <f>SUMIFS('Demand Projection'!$D$2:$D$169,'Demand Projection'!$B$2:$B$169,B$1,'Demand Projection'!$C$2:$C$169,$A217)</f>
        <v>374</v>
      </c>
      <c r="C217">
        <f>SUMIFS('Demand Projection'!$D$2:$D$169,'Demand Projection'!$B$2:$B$169,C$1,'Demand Projection'!$C$2:$C$169,$A217)</f>
        <v>0</v>
      </c>
      <c r="D217">
        <f>SUMIFS('Demand Projection'!$D$2:$D$169,'Demand Projection'!$B$2:$B$169,D$1,'Demand Projection'!$C$2:$C$169,$A217)</f>
        <v>0</v>
      </c>
      <c r="E217">
        <f>SUMIFS('Demand Projection'!$D$2:$D$169,'Demand Projection'!$B$2:$B$169,E$1,'Demand Projection'!$C$2:$C$169,$A217)</f>
        <v>0</v>
      </c>
      <c r="F217">
        <f>SUMIFS('Demand Projection'!$D$2:$D$169,'Demand Projection'!$B$2:$B$169,F$1,'Demand Projection'!$C$2:$C$169,$A217)</f>
        <v>0</v>
      </c>
      <c r="G217" cm="1">
        <f t="array" ref="G217">Q216+IF(ROW()-3&lt;2,0,INDEX(L:L,ROW()-3))</f>
        <v>7250</v>
      </c>
      <c r="H217" cm="1">
        <f t="array" ref="H217">R216+IF(ROW()-3&lt;2,0,INDEX(M:M,ROW()-3))</f>
        <v>22274</v>
      </c>
      <c r="I217" cm="1">
        <f t="array" ref="I217">S216+IF(ROW()-3&lt;2,0,INDEX(N:N,ROW()-3))</f>
        <v>3265</v>
      </c>
      <c r="J217" cm="1">
        <f t="array" ref="J217">T216+IF(ROW()-3&lt;2,0,INDEX(O:O,ROW()-3))</f>
        <v>1198</v>
      </c>
      <c r="K217" cm="1">
        <f t="array" ref="K217">U216+IF(ROW()-3&lt;2,0,INDEX(P:P,ROW()-3))</f>
        <v>1013</v>
      </c>
      <c r="L217">
        <f>IF(Q217&lt;_xlfn.XLOOKUP(L$1,Capacity!$D$3:$D$7,Capacity!$E$3:$E$7),_xlfn.XLOOKUP(L$1,Capacity!$D$3:$D$7,Capacity!$F$3:$F$7)-Q217,0)</f>
        <v>0</v>
      </c>
      <c r="M217">
        <f>IF(R217&lt;_xlfn.XLOOKUP(M$1,Capacity!$D$3:$D$7,Capacity!$E$3:$E$7),_xlfn.XLOOKUP(M$1,Capacity!$D$3:$D$7,Capacity!$F$3:$F$7)-R217,0)</f>
        <v>0</v>
      </c>
      <c r="N217">
        <f>IF(S217&lt;_xlfn.XLOOKUP(N$1,Capacity!$D$3:$D$7,Capacity!$E$3:$E$7),_xlfn.XLOOKUP(N$1,Capacity!$D$3:$D$7,Capacity!$F$3:$F$7)-S217,0)</f>
        <v>0</v>
      </c>
      <c r="O217">
        <f>IF(T217&lt;_xlfn.XLOOKUP(O$1,Capacity!$D$3:$D$7,Capacity!$E$3:$E$7),_xlfn.XLOOKUP(O$1,Capacity!$D$3:$D$7,Capacity!$F$3:$F$7)-T217,0)</f>
        <v>0</v>
      </c>
      <c r="P217">
        <f>IF(U217&lt;_xlfn.XLOOKUP(P$1,Capacity!$D$3:$D$7,Capacity!$E$3:$E$7),_xlfn.XLOOKUP(P$1,Capacity!$D$3:$D$7,Capacity!$F$3:$F$7)-U217,0)</f>
        <v>0</v>
      </c>
      <c r="Q217">
        <f t="shared" si="19"/>
        <v>6876</v>
      </c>
      <c r="R217">
        <f t="shared" si="20"/>
        <v>22274</v>
      </c>
      <c r="S217">
        <f t="shared" si="21"/>
        <v>3265</v>
      </c>
      <c r="T217">
        <f t="shared" si="22"/>
        <v>1198</v>
      </c>
      <c r="U217">
        <f t="shared" si="23"/>
        <v>1013</v>
      </c>
    </row>
    <row r="218" spans="1:21">
      <c r="A218" s="5">
        <f t="shared" si="24"/>
        <v>46239</v>
      </c>
      <c r="B218">
        <f>SUMIFS('Demand Projection'!$D$2:$D$169,'Demand Projection'!$B$2:$B$169,B$1,'Demand Projection'!$C$2:$C$169,$A218)</f>
        <v>0</v>
      </c>
      <c r="C218">
        <f>SUMIFS('Demand Projection'!$D$2:$D$169,'Demand Projection'!$B$2:$B$169,C$1,'Demand Projection'!$C$2:$C$169,$A218)</f>
        <v>0</v>
      </c>
      <c r="D218">
        <f>SUMIFS('Demand Projection'!$D$2:$D$169,'Demand Projection'!$B$2:$B$169,D$1,'Demand Projection'!$C$2:$C$169,$A218)</f>
        <v>840</v>
      </c>
      <c r="E218">
        <f>SUMIFS('Demand Projection'!$D$2:$D$169,'Demand Projection'!$B$2:$B$169,E$1,'Demand Projection'!$C$2:$C$169,$A218)</f>
        <v>0</v>
      </c>
      <c r="F218">
        <f>SUMIFS('Demand Projection'!$D$2:$D$169,'Demand Projection'!$B$2:$B$169,F$1,'Demand Projection'!$C$2:$C$169,$A218)</f>
        <v>0</v>
      </c>
      <c r="G218" cm="1">
        <f t="array" ref="G218">Q217+IF(ROW()-3&lt;2,0,INDEX(L:L,ROW()-3))</f>
        <v>6876</v>
      </c>
      <c r="H218" cm="1">
        <f t="array" ref="H218">R217+IF(ROW()-3&lt;2,0,INDEX(M:M,ROW()-3))</f>
        <v>22274</v>
      </c>
      <c r="I218" cm="1">
        <f t="array" ref="I218">S217+IF(ROW()-3&lt;2,0,INDEX(N:N,ROW()-3))</f>
        <v>3265</v>
      </c>
      <c r="J218" cm="1">
        <f t="array" ref="J218">T217+IF(ROW()-3&lt;2,0,INDEX(O:O,ROW()-3))</f>
        <v>1198</v>
      </c>
      <c r="K218" cm="1">
        <f t="array" ref="K218">U217+IF(ROW()-3&lt;2,0,INDEX(P:P,ROW()-3))</f>
        <v>1013</v>
      </c>
      <c r="L218">
        <f>IF(Q218&lt;_xlfn.XLOOKUP(L$1,Capacity!$D$3:$D$7,Capacity!$E$3:$E$7),_xlfn.XLOOKUP(L$1,Capacity!$D$3:$D$7,Capacity!$F$3:$F$7)-Q218,0)</f>
        <v>0</v>
      </c>
      <c r="M218">
        <f>IF(R218&lt;_xlfn.XLOOKUP(M$1,Capacity!$D$3:$D$7,Capacity!$E$3:$E$7),_xlfn.XLOOKUP(M$1,Capacity!$D$3:$D$7,Capacity!$F$3:$F$7)-R218,0)</f>
        <v>0</v>
      </c>
      <c r="N218">
        <f>IF(S218&lt;_xlfn.XLOOKUP(N$1,Capacity!$D$3:$D$7,Capacity!$E$3:$E$7),_xlfn.XLOOKUP(N$1,Capacity!$D$3:$D$7,Capacity!$F$3:$F$7)-S218,0)</f>
        <v>0</v>
      </c>
      <c r="O218">
        <f>IF(T218&lt;_xlfn.XLOOKUP(O$1,Capacity!$D$3:$D$7,Capacity!$E$3:$E$7),_xlfn.XLOOKUP(O$1,Capacity!$D$3:$D$7,Capacity!$F$3:$F$7)-T218,0)</f>
        <v>0</v>
      </c>
      <c r="P218">
        <f>IF(U218&lt;_xlfn.XLOOKUP(P$1,Capacity!$D$3:$D$7,Capacity!$E$3:$E$7),_xlfn.XLOOKUP(P$1,Capacity!$D$3:$D$7,Capacity!$F$3:$F$7)-U218,0)</f>
        <v>0</v>
      </c>
      <c r="Q218">
        <f t="shared" si="19"/>
        <v>6876</v>
      </c>
      <c r="R218">
        <f t="shared" si="20"/>
        <v>22274</v>
      </c>
      <c r="S218">
        <f t="shared" si="21"/>
        <v>2425</v>
      </c>
      <c r="T218">
        <f t="shared" si="22"/>
        <v>1198</v>
      </c>
      <c r="U218">
        <f t="shared" si="23"/>
        <v>1013</v>
      </c>
    </row>
    <row r="219" spans="1:21">
      <c r="A219" s="5">
        <f t="shared" si="24"/>
        <v>46240</v>
      </c>
      <c r="B219">
        <f>SUMIFS('Demand Projection'!$D$2:$D$169,'Demand Projection'!$B$2:$B$169,B$1,'Demand Projection'!$C$2:$C$169,$A219)</f>
        <v>0</v>
      </c>
      <c r="C219">
        <f>SUMIFS('Demand Projection'!$D$2:$D$169,'Demand Projection'!$B$2:$B$169,C$1,'Demand Projection'!$C$2:$C$169,$A219)</f>
        <v>0</v>
      </c>
      <c r="D219">
        <f>SUMIFS('Demand Projection'!$D$2:$D$169,'Demand Projection'!$B$2:$B$169,D$1,'Demand Projection'!$C$2:$C$169,$A219)</f>
        <v>0</v>
      </c>
      <c r="E219">
        <f>SUMIFS('Demand Projection'!$D$2:$D$169,'Demand Projection'!$B$2:$B$169,E$1,'Demand Projection'!$C$2:$C$169,$A219)</f>
        <v>561</v>
      </c>
      <c r="F219">
        <f>SUMIFS('Demand Projection'!$D$2:$D$169,'Demand Projection'!$B$2:$B$169,F$1,'Demand Projection'!$C$2:$C$169,$A219)</f>
        <v>0</v>
      </c>
      <c r="G219" cm="1">
        <f t="array" ref="G219">Q218+IF(ROW()-3&lt;2,0,INDEX(L:L,ROW()-3))</f>
        <v>6876</v>
      </c>
      <c r="H219" cm="1">
        <f t="array" ref="H219">R218+IF(ROW()-3&lt;2,0,INDEX(M:M,ROW()-3))</f>
        <v>22274</v>
      </c>
      <c r="I219" cm="1">
        <f t="array" ref="I219">S218+IF(ROW()-3&lt;2,0,INDEX(N:N,ROW()-3))</f>
        <v>2425</v>
      </c>
      <c r="J219" cm="1">
        <f t="array" ref="J219">T218+IF(ROW()-3&lt;2,0,INDEX(O:O,ROW()-3))</f>
        <v>1198</v>
      </c>
      <c r="K219" cm="1">
        <f t="array" ref="K219">U218+IF(ROW()-3&lt;2,0,INDEX(P:P,ROW()-3))</f>
        <v>1013</v>
      </c>
      <c r="L219">
        <f>IF(Q219&lt;_xlfn.XLOOKUP(L$1,Capacity!$D$3:$D$7,Capacity!$E$3:$E$7),_xlfn.XLOOKUP(L$1,Capacity!$D$3:$D$7,Capacity!$F$3:$F$7)-Q219,0)</f>
        <v>0</v>
      </c>
      <c r="M219">
        <f>IF(R219&lt;_xlfn.XLOOKUP(M$1,Capacity!$D$3:$D$7,Capacity!$E$3:$E$7),_xlfn.XLOOKUP(M$1,Capacity!$D$3:$D$7,Capacity!$F$3:$F$7)-R219,0)</f>
        <v>0</v>
      </c>
      <c r="N219">
        <f>IF(S219&lt;_xlfn.XLOOKUP(N$1,Capacity!$D$3:$D$7,Capacity!$E$3:$E$7),_xlfn.XLOOKUP(N$1,Capacity!$D$3:$D$7,Capacity!$F$3:$F$7)-S219,0)</f>
        <v>0</v>
      </c>
      <c r="O219">
        <f>IF(T219&lt;_xlfn.XLOOKUP(O$1,Capacity!$D$3:$D$7,Capacity!$E$3:$E$7),_xlfn.XLOOKUP(O$1,Capacity!$D$3:$D$7,Capacity!$F$3:$F$7)-T219,0)</f>
        <v>0</v>
      </c>
      <c r="P219">
        <f>IF(U219&lt;_xlfn.XLOOKUP(P$1,Capacity!$D$3:$D$7,Capacity!$E$3:$E$7),_xlfn.XLOOKUP(P$1,Capacity!$D$3:$D$7,Capacity!$F$3:$F$7)-U219,0)</f>
        <v>0</v>
      </c>
      <c r="Q219">
        <f t="shared" si="19"/>
        <v>6876</v>
      </c>
      <c r="R219">
        <f t="shared" si="20"/>
        <v>22274</v>
      </c>
      <c r="S219">
        <f t="shared" si="21"/>
        <v>2425</v>
      </c>
      <c r="T219">
        <f t="shared" si="22"/>
        <v>637</v>
      </c>
      <c r="U219">
        <f t="shared" si="23"/>
        <v>1013</v>
      </c>
    </row>
    <row r="220" spans="1:21">
      <c r="A220" s="5">
        <f t="shared" si="24"/>
        <v>46241</v>
      </c>
      <c r="B220">
        <f>SUMIFS('Demand Projection'!$D$2:$D$169,'Demand Projection'!$B$2:$B$169,B$1,'Demand Projection'!$C$2:$C$169,$A220)</f>
        <v>932</v>
      </c>
      <c r="C220">
        <f>SUMIFS('Demand Projection'!$D$2:$D$169,'Demand Projection'!$B$2:$B$169,C$1,'Demand Projection'!$C$2:$C$169,$A220)</f>
        <v>0</v>
      </c>
      <c r="D220">
        <f>SUMIFS('Demand Projection'!$D$2:$D$169,'Demand Projection'!$B$2:$B$169,D$1,'Demand Projection'!$C$2:$C$169,$A220)</f>
        <v>0</v>
      </c>
      <c r="E220">
        <f>SUMIFS('Demand Projection'!$D$2:$D$169,'Demand Projection'!$B$2:$B$169,E$1,'Demand Projection'!$C$2:$C$169,$A220)</f>
        <v>0</v>
      </c>
      <c r="F220">
        <f>SUMIFS('Demand Projection'!$D$2:$D$169,'Demand Projection'!$B$2:$B$169,F$1,'Demand Projection'!$C$2:$C$169,$A220)</f>
        <v>0</v>
      </c>
      <c r="G220" cm="1">
        <f t="array" ref="G220">Q219+IF(ROW()-3&lt;2,0,INDEX(L:L,ROW()-3))</f>
        <v>6876</v>
      </c>
      <c r="H220" cm="1">
        <f t="array" ref="H220">R219+IF(ROW()-3&lt;2,0,INDEX(M:M,ROW()-3))</f>
        <v>22274</v>
      </c>
      <c r="I220" cm="1">
        <f t="array" ref="I220">S219+IF(ROW()-3&lt;2,0,INDEX(N:N,ROW()-3))</f>
        <v>2425</v>
      </c>
      <c r="J220" cm="1">
        <f t="array" ref="J220">T219+IF(ROW()-3&lt;2,0,INDEX(O:O,ROW()-3))</f>
        <v>637</v>
      </c>
      <c r="K220" cm="1">
        <f t="array" ref="K220">U219+IF(ROW()-3&lt;2,0,INDEX(P:P,ROW()-3))</f>
        <v>1013</v>
      </c>
      <c r="L220">
        <f>IF(Q220&lt;_xlfn.XLOOKUP(L$1,Capacity!$D$3:$D$7,Capacity!$E$3:$E$7),_xlfn.XLOOKUP(L$1,Capacity!$D$3:$D$7,Capacity!$F$3:$F$7)-Q220,0)</f>
        <v>0</v>
      </c>
      <c r="M220">
        <f>IF(R220&lt;_xlfn.XLOOKUP(M$1,Capacity!$D$3:$D$7,Capacity!$E$3:$E$7),_xlfn.XLOOKUP(M$1,Capacity!$D$3:$D$7,Capacity!$F$3:$F$7)-R220,0)</f>
        <v>0</v>
      </c>
      <c r="N220">
        <f>IF(S220&lt;_xlfn.XLOOKUP(N$1,Capacity!$D$3:$D$7,Capacity!$E$3:$E$7),_xlfn.XLOOKUP(N$1,Capacity!$D$3:$D$7,Capacity!$F$3:$F$7)-S220,0)</f>
        <v>0</v>
      </c>
      <c r="O220">
        <f>IF(T220&lt;_xlfn.XLOOKUP(O$1,Capacity!$D$3:$D$7,Capacity!$E$3:$E$7),_xlfn.XLOOKUP(O$1,Capacity!$D$3:$D$7,Capacity!$F$3:$F$7)-T220,0)</f>
        <v>0</v>
      </c>
      <c r="P220">
        <f>IF(U220&lt;_xlfn.XLOOKUP(P$1,Capacity!$D$3:$D$7,Capacity!$E$3:$E$7),_xlfn.XLOOKUP(P$1,Capacity!$D$3:$D$7,Capacity!$F$3:$F$7)-U220,0)</f>
        <v>0</v>
      </c>
      <c r="Q220">
        <f t="shared" si="19"/>
        <v>5944</v>
      </c>
      <c r="R220">
        <f t="shared" si="20"/>
        <v>22274</v>
      </c>
      <c r="S220">
        <f t="shared" si="21"/>
        <v>2425</v>
      </c>
      <c r="T220">
        <f t="shared" si="22"/>
        <v>637</v>
      </c>
      <c r="U220">
        <f t="shared" si="23"/>
        <v>1013</v>
      </c>
    </row>
    <row r="221" spans="1:21">
      <c r="A221" s="5">
        <f t="shared" si="24"/>
        <v>46242</v>
      </c>
      <c r="B221">
        <f>SUMIFS('Demand Projection'!$D$2:$D$169,'Demand Projection'!$B$2:$B$169,B$1,'Demand Projection'!$C$2:$C$169,$A221)</f>
        <v>0</v>
      </c>
      <c r="C221">
        <f>SUMIFS('Demand Projection'!$D$2:$D$169,'Demand Projection'!$B$2:$B$169,C$1,'Demand Projection'!$C$2:$C$169,$A221)</f>
        <v>0</v>
      </c>
      <c r="D221">
        <f>SUMIFS('Demand Projection'!$D$2:$D$169,'Demand Projection'!$B$2:$B$169,D$1,'Demand Projection'!$C$2:$C$169,$A221)</f>
        <v>0</v>
      </c>
      <c r="E221">
        <f>SUMIFS('Demand Projection'!$D$2:$D$169,'Demand Projection'!$B$2:$B$169,E$1,'Demand Projection'!$C$2:$C$169,$A221)</f>
        <v>0</v>
      </c>
      <c r="F221">
        <f>SUMIFS('Demand Projection'!$D$2:$D$169,'Demand Projection'!$B$2:$B$169,F$1,'Demand Projection'!$C$2:$C$169,$A221)</f>
        <v>0</v>
      </c>
      <c r="G221" cm="1">
        <f t="array" ref="G221">Q220+IF(ROW()-3&lt;2,0,INDEX(L:L,ROW()-3))</f>
        <v>5944</v>
      </c>
      <c r="H221" cm="1">
        <f t="array" ref="H221">R220+IF(ROW()-3&lt;2,0,INDEX(M:M,ROW()-3))</f>
        <v>22274</v>
      </c>
      <c r="I221" cm="1">
        <f t="array" ref="I221">S220+IF(ROW()-3&lt;2,0,INDEX(N:N,ROW()-3))</f>
        <v>2425</v>
      </c>
      <c r="J221" cm="1">
        <f t="array" ref="J221">T220+IF(ROW()-3&lt;2,0,INDEX(O:O,ROW()-3))</f>
        <v>637</v>
      </c>
      <c r="K221" cm="1">
        <f t="array" ref="K221">U220+IF(ROW()-3&lt;2,0,INDEX(P:P,ROW()-3))</f>
        <v>1013</v>
      </c>
      <c r="L221">
        <f>IF(Q221&lt;_xlfn.XLOOKUP(L$1,Capacity!$D$3:$D$7,Capacity!$E$3:$E$7),_xlfn.XLOOKUP(L$1,Capacity!$D$3:$D$7,Capacity!$F$3:$F$7)-Q221,0)</f>
        <v>0</v>
      </c>
      <c r="M221">
        <f>IF(R221&lt;_xlfn.XLOOKUP(M$1,Capacity!$D$3:$D$7,Capacity!$E$3:$E$7),_xlfn.XLOOKUP(M$1,Capacity!$D$3:$D$7,Capacity!$F$3:$F$7)-R221,0)</f>
        <v>0</v>
      </c>
      <c r="N221">
        <f>IF(S221&lt;_xlfn.XLOOKUP(N$1,Capacity!$D$3:$D$7,Capacity!$E$3:$E$7),_xlfn.XLOOKUP(N$1,Capacity!$D$3:$D$7,Capacity!$F$3:$F$7)-S221,0)</f>
        <v>0</v>
      </c>
      <c r="O221">
        <f>IF(T221&lt;_xlfn.XLOOKUP(O$1,Capacity!$D$3:$D$7,Capacity!$E$3:$E$7),_xlfn.XLOOKUP(O$1,Capacity!$D$3:$D$7,Capacity!$F$3:$F$7)-T221,0)</f>
        <v>0</v>
      </c>
      <c r="P221">
        <f>IF(U221&lt;_xlfn.XLOOKUP(P$1,Capacity!$D$3:$D$7,Capacity!$E$3:$E$7),_xlfn.XLOOKUP(P$1,Capacity!$D$3:$D$7,Capacity!$F$3:$F$7)-U221,0)</f>
        <v>0</v>
      </c>
      <c r="Q221">
        <f t="shared" si="19"/>
        <v>5944</v>
      </c>
      <c r="R221">
        <f t="shared" si="20"/>
        <v>22274</v>
      </c>
      <c r="S221">
        <f t="shared" si="21"/>
        <v>2425</v>
      </c>
      <c r="T221">
        <f t="shared" si="22"/>
        <v>637</v>
      </c>
      <c r="U221">
        <f t="shared" si="23"/>
        <v>1013</v>
      </c>
    </row>
    <row r="222" spans="1:21">
      <c r="A222" s="5">
        <f t="shared" si="24"/>
        <v>46243</v>
      </c>
      <c r="B222">
        <f>SUMIFS('Demand Projection'!$D$2:$D$169,'Demand Projection'!$B$2:$B$169,B$1,'Demand Projection'!$C$2:$C$169,$A222)</f>
        <v>0</v>
      </c>
      <c r="C222">
        <f>SUMIFS('Demand Projection'!$D$2:$D$169,'Demand Projection'!$B$2:$B$169,C$1,'Demand Projection'!$C$2:$C$169,$A222)</f>
        <v>0</v>
      </c>
      <c r="D222">
        <f>SUMIFS('Demand Projection'!$D$2:$D$169,'Demand Projection'!$B$2:$B$169,D$1,'Demand Projection'!$C$2:$C$169,$A222)</f>
        <v>467</v>
      </c>
      <c r="E222">
        <f>SUMIFS('Demand Projection'!$D$2:$D$169,'Demand Projection'!$B$2:$B$169,E$1,'Demand Projection'!$C$2:$C$169,$A222)</f>
        <v>0</v>
      </c>
      <c r="F222">
        <f>SUMIFS('Demand Projection'!$D$2:$D$169,'Demand Projection'!$B$2:$B$169,F$1,'Demand Projection'!$C$2:$C$169,$A222)</f>
        <v>0</v>
      </c>
      <c r="G222" cm="1">
        <f t="array" ref="G222">Q221+IF(ROW()-3&lt;2,0,INDEX(L:L,ROW()-3))</f>
        <v>5944</v>
      </c>
      <c r="H222" cm="1">
        <f t="array" ref="H222">R221+IF(ROW()-3&lt;2,0,INDEX(M:M,ROW()-3))</f>
        <v>22274</v>
      </c>
      <c r="I222" cm="1">
        <f t="array" ref="I222">S221+IF(ROW()-3&lt;2,0,INDEX(N:N,ROW()-3))</f>
        <v>2425</v>
      </c>
      <c r="J222" cm="1">
        <f t="array" ref="J222">T221+IF(ROW()-3&lt;2,0,INDEX(O:O,ROW()-3))</f>
        <v>637</v>
      </c>
      <c r="K222" cm="1">
        <f t="array" ref="K222">U221+IF(ROW()-3&lt;2,0,INDEX(P:P,ROW()-3))</f>
        <v>1013</v>
      </c>
      <c r="L222">
        <f>IF(Q222&lt;_xlfn.XLOOKUP(L$1,Capacity!$D$3:$D$7,Capacity!$E$3:$E$7),_xlfn.XLOOKUP(L$1,Capacity!$D$3:$D$7,Capacity!$F$3:$F$7)-Q222,0)</f>
        <v>0</v>
      </c>
      <c r="M222">
        <f>IF(R222&lt;_xlfn.XLOOKUP(M$1,Capacity!$D$3:$D$7,Capacity!$E$3:$E$7),_xlfn.XLOOKUP(M$1,Capacity!$D$3:$D$7,Capacity!$F$3:$F$7)-R222,0)</f>
        <v>0</v>
      </c>
      <c r="N222">
        <f>IF(S222&lt;_xlfn.XLOOKUP(N$1,Capacity!$D$3:$D$7,Capacity!$E$3:$E$7),_xlfn.XLOOKUP(N$1,Capacity!$D$3:$D$7,Capacity!$F$3:$F$7)-S222,0)</f>
        <v>0</v>
      </c>
      <c r="O222">
        <f>IF(T222&lt;_xlfn.XLOOKUP(O$1,Capacity!$D$3:$D$7,Capacity!$E$3:$E$7),_xlfn.XLOOKUP(O$1,Capacity!$D$3:$D$7,Capacity!$F$3:$F$7)-T222,0)</f>
        <v>0</v>
      </c>
      <c r="P222">
        <f>IF(U222&lt;_xlfn.XLOOKUP(P$1,Capacity!$D$3:$D$7,Capacity!$E$3:$E$7),_xlfn.XLOOKUP(P$1,Capacity!$D$3:$D$7,Capacity!$F$3:$F$7)-U222,0)</f>
        <v>0</v>
      </c>
      <c r="Q222">
        <f t="shared" si="19"/>
        <v>5944</v>
      </c>
      <c r="R222">
        <f t="shared" si="20"/>
        <v>22274</v>
      </c>
      <c r="S222">
        <f t="shared" si="21"/>
        <v>1958</v>
      </c>
      <c r="T222">
        <f t="shared" si="22"/>
        <v>637</v>
      </c>
      <c r="U222">
        <f t="shared" si="23"/>
        <v>1013</v>
      </c>
    </row>
    <row r="223" spans="1:21">
      <c r="A223" s="5">
        <f t="shared" si="24"/>
        <v>46244</v>
      </c>
      <c r="B223">
        <f>SUMIFS('Demand Projection'!$D$2:$D$169,'Demand Projection'!$B$2:$B$169,B$1,'Demand Projection'!$C$2:$C$169,$A223)</f>
        <v>0</v>
      </c>
      <c r="C223">
        <f>SUMIFS('Demand Projection'!$D$2:$D$169,'Demand Projection'!$B$2:$B$169,C$1,'Demand Projection'!$C$2:$C$169,$A223)</f>
        <v>0</v>
      </c>
      <c r="D223">
        <f>SUMIFS('Demand Projection'!$D$2:$D$169,'Demand Projection'!$B$2:$B$169,D$1,'Demand Projection'!$C$2:$C$169,$A223)</f>
        <v>0</v>
      </c>
      <c r="E223">
        <f>SUMIFS('Demand Projection'!$D$2:$D$169,'Demand Projection'!$B$2:$B$169,E$1,'Demand Projection'!$C$2:$C$169,$A223)</f>
        <v>0</v>
      </c>
      <c r="F223">
        <f>SUMIFS('Demand Projection'!$D$2:$D$169,'Demand Projection'!$B$2:$B$169,F$1,'Demand Projection'!$C$2:$C$169,$A223)</f>
        <v>0</v>
      </c>
      <c r="G223" cm="1">
        <f t="array" ref="G223">Q222+IF(ROW()-3&lt;2,0,INDEX(L:L,ROW()-3))</f>
        <v>5944</v>
      </c>
      <c r="H223" cm="1">
        <f t="array" ref="H223">R222+IF(ROW()-3&lt;2,0,INDEX(M:M,ROW()-3))</f>
        <v>22274</v>
      </c>
      <c r="I223" cm="1">
        <f t="array" ref="I223">S222+IF(ROW()-3&lt;2,0,INDEX(N:N,ROW()-3))</f>
        <v>1958</v>
      </c>
      <c r="J223" cm="1">
        <f t="array" ref="J223">T222+IF(ROW()-3&lt;2,0,INDEX(O:O,ROW()-3))</f>
        <v>637</v>
      </c>
      <c r="K223" cm="1">
        <f t="array" ref="K223">U222+IF(ROW()-3&lt;2,0,INDEX(P:P,ROW()-3))</f>
        <v>1013</v>
      </c>
      <c r="L223">
        <f>IF(Q223&lt;_xlfn.XLOOKUP(L$1,Capacity!$D$3:$D$7,Capacity!$E$3:$E$7),_xlfn.XLOOKUP(L$1,Capacity!$D$3:$D$7,Capacity!$F$3:$F$7)-Q223,0)</f>
        <v>0</v>
      </c>
      <c r="M223">
        <f>IF(R223&lt;_xlfn.XLOOKUP(M$1,Capacity!$D$3:$D$7,Capacity!$E$3:$E$7),_xlfn.XLOOKUP(M$1,Capacity!$D$3:$D$7,Capacity!$F$3:$F$7)-R223,0)</f>
        <v>0</v>
      </c>
      <c r="N223">
        <f>IF(S223&lt;_xlfn.XLOOKUP(N$1,Capacity!$D$3:$D$7,Capacity!$E$3:$E$7),_xlfn.XLOOKUP(N$1,Capacity!$D$3:$D$7,Capacity!$F$3:$F$7)-S223,0)</f>
        <v>0</v>
      </c>
      <c r="O223">
        <f>IF(T223&lt;_xlfn.XLOOKUP(O$1,Capacity!$D$3:$D$7,Capacity!$E$3:$E$7),_xlfn.XLOOKUP(O$1,Capacity!$D$3:$D$7,Capacity!$F$3:$F$7)-T223,0)</f>
        <v>0</v>
      </c>
      <c r="P223">
        <f>IF(U223&lt;_xlfn.XLOOKUP(P$1,Capacity!$D$3:$D$7,Capacity!$E$3:$E$7),_xlfn.XLOOKUP(P$1,Capacity!$D$3:$D$7,Capacity!$F$3:$F$7)-U223,0)</f>
        <v>0</v>
      </c>
      <c r="Q223">
        <f t="shared" si="19"/>
        <v>5944</v>
      </c>
      <c r="R223">
        <f t="shared" si="20"/>
        <v>22274</v>
      </c>
      <c r="S223">
        <f t="shared" si="21"/>
        <v>1958</v>
      </c>
      <c r="T223">
        <f t="shared" si="22"/>
        <v>637</v>
      </c>
      <c r="U223">
        <f t="shared" si="23"/>
        <v>1013</v>
      </c>
    </row>
    <row r="224" spans="1:21">
      <c r="A224" s="5">
        <f t="shared" si="24"/>
        <v>46245</v>
      </c>
      <c r="B224">
        <f>SUMIFS('Demand Projection'!$D$2:$D$169,'Demand Projection'!$B$2:$B$169,B$1,'Demand Projection'!$C$2:$C$169,$A224)</f>
        <v>0</v>
      </c>
      <c r="C224">
        <f>SUMIFS('Demand Projection'!$D$2:$D$169,'Demand Projection'!$B$2:$B$169,C$1,'Demand Projection'!$C$2:$C$169,$A224)</f>
        <v>0</v>
      </c>
      <c r="D224">
        <f>SUMIFS('Demand Projection'!$D$2:$D$169,'Demand Projection'!$B$2:$B$169,D$1,'Demand Projection'!$C$2:$C$169,$A224)</f>
        <v>0</v>
      </c>
      <c r="E224">
        <f>SUMIFS('Demand Projection'!$D$2:$D$169,'Demand Projection'!$B$2:$B$169,E$1,'Demand Projection'!$C$2:$C$169,$A224)</f>
        <v>0</v>
      </c>
      <c r="F224">
        <f>SUMIFS('Demand Projection'!$D$2:$D$169,'Demand Projection'!$B$2:$B$169,F$1,'Demand Projection'!$C$2:$C$169,$A224)</f>
        <v>0</v>
      </c>
      <c r="G224" cm="1">
        <f t="array" ref="G224">Q223+IF(ROW()-3&lt;2,0,INDEX(L:L,ROW()-3))</f>
        <v>5944</v>
      </c>
      <c r="H224" cm="1">
        <f t="array" ref="H224">R223+IF(ROW()-3&lt;2,0,INDEX(M:M,ROW()-3))</f>
        <v>22274</v>
      </c>
      <c r="I224" cm="1">
        <f t="array" ref="I224">S223+IF(ROW()-3&lt;2,0,INDEX(N:N,ROW()-3))</f>
        <v>1958</v>
      </c>
      <c r="J224" cm="1">
        <f t="array" ref="J224">T223+IF(ROW()-3&lt;2,0,INDEX(O:O,ROW()-3))</f>
        <v>637</v>
      </c>
      <c r="K224" cm="1">
        <f t="array" ref="K224">U223+IF(ROW()-3&lt;2,0,INDEX(P:P,ROW()-3))</f>
        <v>1013</v>
      </c>
      <c r="L224">
        <f>IF(Q224&lt;_xlfn.XLOOKUP(L$1,Capacity!$D$3:$D$7,Capacity!$E$3:$E$7),_xlfn.XLOOKUP(L$1,Capacity!$D$3:$D$7,Capacity!$F$3:$F$7)-Q224,0)</f>
        <v>0</v>
      </c>
      <c r="M224">
        <f>IF(R224&lt;_xlfn.XLOOKUP(M$1,Capacity!$D$3:$D$7,Capacity!$E$3:$E$7),_xlfn.XLOOKUP(M$1,Capacity!$D$3:$D$7,Capacity!$F$3:$F$7)-R224,0)</f>
        <v>0</v>
      </c>
      <c r="N224">
        <f>IF(S224&lt;_xlfn.XLOOKUP(N$1,Capacity!$D$3:$D$7,Capacity!$E$3:$E$7),_xlfn.XLOOKUP(N$1,Capacity!$D$3:$D$7,Capacity!$F$3:$F$7)-S224,0)</f>
        <v>0</v>
      </c>
      <c r="O224">
        <f>IF(T224&lt;_xlfn.XLOOKUP(O$1,Capacity!$D$3:$D$7,Capacity!$E$3:$E$7),_xlfn.XLOOKUP(O$1,Capacity!$D$3:$D$7,Capacity!$F$3:$F$7)-T224,0)</f>
        <v>0</v>
      </c>
      <c r="P224">
        <f>IF(U224&lt;_xlfn.XLOOKUP(P$1,Capacity!$D$3:$D$7,Capacity!$E$3:$E$7),_xlfn.XLOOKUP(P$1,Capacity!$D$3:$D$7,Capacity!$F$3:$F$7)-U224,0)</f>
        <v>0</v>
      </c>
      <c r="Q224">
        <f t="shared" si="19"/>
        <v>5944</v>
      </c>
      <c r="R224">
        <f t="shared" si="20"/>
        <v>22274</v>
      </c>
      <c r="S224">
        <f t="shared" si="21"/>
        <v>1958</v>
      </c>
      <c r="T224">
        <f t="shared" si="22"/>
        <v>637</v>
      </c>
      <c r="U224">
        <f t="shared" si="23"/>
        <v>1013</v>
      </c>
    </row>
    <row r="225" spans="1:21">
      <c r="A225" s="5">
        <f t="shared" si="24"/>
        <v>46246</v>
      </c>
      <c r="B225">
        <f>SUMIFS('Demand Projection'!$D$2:$D$169,'Demand Projection'!$B$2:$B$169,B$1,'Demand Projection'!$C$2:$C$169,$A225)</f>
        <v>0</v>
      </c>
      <c r="C225">
        <f>SUMIFS('Demand Projection'!$D$2:$D$169,'Demand Projection'!$B$2:$B$169,C$1,'Demand Projection'!$C$2:$C$169,$A225)</f>
        <v>0</v>
      </c>
      <c r="D225">
        <f>SUMIFS('Demand Projection'!$D$2:$D$169,'Demand Projection'!$B$2:$B$169,D$1,'Demand Projection'!$C$2:$C$169,$A225)</f>
        <v>0</v>
      </c>
      <c r="E225">
        <f>SUMIFS('Demand Projection'!$D$2:$D$169,'Demand Projection'!$B$2:$B$169,E$1,'Demand Projection'!$C$2:$C$169,$A225)</f>
        <v>0</v>
      </c>
      <c r="F225">
        <f>SUMIFS('Demand Projection'!$D$2:$D$169,'Demand Projection'!$B$2:$B$169,F$1,'Demand Projection'!$C$2:$C$169,$A225)</f>
        <v>309</v>
      </c>
      <c r="G225" cm="1">
        <f t="array" ref="G225">Q224+IF(ROW()-3&lt;2,0,INDEX(L:L,ROW()-3))</f>
        <v>5944</v>
      </c>
      <c r="H225" cm="1">
        <f t="array" ref="H225">R224+IF(ROW()-3&lt;2,0,INDEX(M:M,ROW()-3))</f>
        <v>22274</v>
      </c>
      <c r="I225" cm="1">
        <f t="array" ref="I225">S224+IF(ROW()-3&lt;2,0,INDEX(N:N,ROW()-3))</f>
        <v>1958</v>
      </c>
      <c r="J225" cm="1">
        <f t="array" ref="J225">T224+IF(ROW()-3&lt;2,0,INDEX(O:O,ROW()-3))</f>
        <v>637</v>
      </c>
      <c r="K225" cm="1">
        <f t="array" ref="K225">U224+IF(ROW()-3&lt;2,0,INDEX(P:P,ROW()-3))</f>
        <v>1013</v>
      </c>
      <c r="L225">
        <f>IF(Q225&lt;_xlfn.XLOOKUP(L$1,Capacity!$D$3:$D$7,Capacity!$E$3:$E$7),_xlfn.XLOOKUP(L$1,Capacity!$D$3:$D$7,Capacity!$F$3:$F$7)-Q225,0)</f>
        <v>0</v>
      </c>
      <c r="M225">
        <f>IF(R225&lt;_xlfn.XLOOKUP(M$1,Capacity!$D$3:$D$7,Capacity!$E$3:$E$7),_xlfn.XLOOKUP(M$1,Capacity!$D$3:$D$7,Capacity!$F$3:$F$7)-R225,0)</f>
        <v>0</v>
      </c>
      <c r="N225">
        <f>IF(S225&lt;_xlfn.XLOOKUP(N$1,Capacity!$D$3:$D$7,Capacity!$E$3:$E$7),_xlfn.XLOOKUP(N$1,Capacity!$D$3:$D$7,Capacity!$F$3:$F$7)-S225,0)</f>
        <v>0</v>
      </c>
      <c r="O225">
        <f>IF(T225&lt;_xlfn.XLOOKUP(O$1,Capacity!$D$3:$D$7,Capacity!$E$3:$E$7),_xlfn.XLOOKUP(O$1,Capacity!$D$3:$D$7,Capacity!$F$3:$F$7)-T225,0)</f>
        <v>0</v>
      </c>
      <c r="P225">
        <f>IF(U225&lt;_xlfn.XLOOKUP(P$1,Capacity!$D$3:$D$7,Capacity!$E$3:$E$7),_xlfn.XLOOKUP(P$1,Capacity!$D$3:$D$7,Capacity!$F$3:$F$7)-U225,0)</f>
        <v>0</v>
      </c>
      <c r="Q225">
        <f t="shared" si="19"/>
        <v>5944</v>
      </c>
      <c r="R225">
        <f t="shared" si="20"/>
        <v>22274</v>
      </c>
      <c r="S225">
        <f t="shared" si="21"/>
        <v>1958</v>
      </c>
      <c r="T225">
        <f t="shared" si="22"/>
        <v>637</v>
      </c>
      <c r="U225">
        <f t="shared" si="23"/>
        <v>704</v>
      </c>
    </row>
    <row r="226" spans="1:21">
      <c r="A226" s="5">
        <f t="shared" si="24"/>
        <v>46247</v>
      </c>
      <c r="B226">
        <f>SUMIFS('Demand Projection'!$D$2:$D$169,'Demand Projection'!$B$2:$B$169,B$1,'Demand Projection'!$C$2:$C$169,$A226)</f>
        <v>0</v>
      </c>
      <c r="C226">
        <f>SUMIFS('Demand Projection'!$D$2:$D$169,'Demand Projection'!$B$2:$B$169,C$1,'Demand Projection'!$C$2:$C$169,$A226)</f>
        <v>464</v>
      </c>
      <c r="D226">
        <f>SUMIFS('Demand Projection'!$D$2:$D$169,'Demand Projection'!$B$2:$B$169,D$1,'Demand Projection'!$C$2:$C$169,$A226)</f>
        <v>0</v>
      </c>
      <c r="E226">
        <f>SUMIFS('Demand Projection'!$D$2:$D$169,'Demand Projection'!$B$2:$B$169,E$1,'Demand Projection'!$C$2:$C$169,$A226)</f>
        <v>0</v>
      </c>
      <c r="F226">
        <f>SUMIFS('Demand Projection'!$D$2:$D$169,'Demand Projection'!$B$2:$B$169,F$1,'Demand Projection'!$C$2:$C$169,$A226)</f>
        <v>0</v>
      </c>
      <c r="G226" cm="1">
        <f t="array" ref="G226">Q225+IF(ROW()-3&lt;2,0,INDEX(L:L,ROW()-3))</f>
        <v>5944</v>
      </c>
      <c r="H226" cm="1">
        <f t="array" ref="H226">R225+IF(ROW()-3&lt;2,0,INDEX(M:M,ROW()-3))</f>
        <v>22274</v>
      </c>
      <c r="I226" cm="1">
        <f t="array" ref="I226">S225+IF(ROW()-3&lt;2,0,INDEX(N:N,ROW()-3))</f>
        <v>1958</v>
      </c>
      <c r="J226" cm="1">
        <f t="array" ref="J226">T225+IF(ROW()-3&lt;2,0,INDEX(O:O,ROW()-3))</f>
        <v>637</v>
      </c>
      <c r="K226" cm="1">
        <f t="array" ref="K226">U225+IF(ROW()-3&lt;2,0,INDEX(P:P,ROW()-3))</f>
        <v>704</v>
      </c>
      <c r="L226">
        <f>IF(Q226&lt;_xlfn.XLOOKUP(L$1,Capacity!$D$3:$D$7,Capacity!$E$3:$E$7),_xlfn.XLOOKUP(L$1,Capacity!$D$3:$D$7,Capacity!$F$3:$F$7)-Q226,0)</f>
        <v>0</v>
      </c>
      <c r="M226">
        <f>IF(R226&lt;_xlfn.XLOOKUP(M$1,Capacity!$D$3:$D$7,Capacity!$E$3:$E$7),_xlfn.XLOOKUP(M$1,Capacity!$D$3:$D$7,Capacity!$F$3:$F$7)-R226,0)</f>
        <v>0</v>
      </c>
      <c r="N226">
        <f>IF(S226&lt;_xlfn.XLOOKUP(N$1,Capacity!$D$3:$D$7,Capacity!$E$3:$E$7),_xlfn.XLOOKUP(N$1,Capacity!$D$3:$D$7,Capacity!$F$3:$F$7)-S226,0)</f>
        <v>0</v>
      </c>
      <c r="O226">
        <f>IF(T226&lt;_xlfn.XLOOKUP(O$1,Capacity!$D$3:$D$7,Capacity!$E$3:$E$7),_xlfn.XLOOKUP(O$1,Capacity!$D$3:$D$7,Capacity!$F$3:$F$7)-T226,0)</f>
        <v>0</v>
      </c>
      <c r="P226">
        <f>IF(U226&lt;_xlfn.XLOOKUP(P$1,Capacity!$D$3:$D$7,Capacity!$E$3:$E$7),_xlfn.XLOOKUP(P$1,Capacity!$D$3:$D$7,Capacity!$F$3:$F$7)-U226,0)</f>
        <v>0</v>
      </c>
      <c r="Q226">
        <f t="shared" si="19"/>
        <v>5944</v>
      </c>
      <c r="R226">
        <f t="shared" si="20"/>
        <v>21810</v>
      </c>
      <c r="S226">
        <f t="shared" si="21"/>
        <v>1958</v>
      </c>
      <c r="T226">
        <f t="shared" si="22"/>
        <v>637</v>
      </c>
      <c r="U226">
        <f t="shared" si="23"/>
        <v>704</v>
      </c>
    </row>
    <row r="227" spans="1:21">
      <c r="A227" s="5">
        <f t="shared" si="24"/>
        <v>46248</v>
      </c>
      <c r="B227">
        <f>SUMIFS('Demand Projection'!$D$2:$D$169,'Demand Projection'!$B$2:$B$169,B$1,'Demand Projection'!$C$2:$C$169,$A227)</f>
        <v>0</v>
      </c>
      <c r="C227">
        <f>SUMIFS('Demand Projection'!$D$2:$D$169,'Demand Projection'!$B$2:$B$169,C$1,'Demand Projection'!$C$2:$C$169,$A227)</f>
        <v>0</v>
      </c>
      <c r="D227">
        <f>SUMIFS('Demand Projection'!$D$2:$D$169,'Demand Projection'!$B$2:$B$169,D$1,'Demand Projection'!$C$2:$C$169,$A227)</f>
        <v>0</v>
      </c>
      <c r="E227">
        <f>SUMIFS('Demand Projection'!$D$2:$D$169,'Demand Projection'!$B$2:$B$169,E$1,'Demand Projection'!$C$2:$C$169,$A227)</f>
        <v>0</v>
      </c>
      <c r="F227">
        <f>SUMIFS('Demand Projection'!$D$2:$D$169,'Demand Projection'!$B$2:$B$169,F$1,'Demand Projection'!$C$2:$C$169,$A227)</f>
        <v>0</v>
      </c>
      <c r="G227" cm="1">
        <f t="array" ref="G227">Q226+IF(ROW()-3&lt;2,0,INDEX(L:L,ROW()-3))</f>
        <v>5944</v>
      </c>
      <c r="H227" cm="1">
        <f t="array" ref="H227">R226+IF(ROW()-3&lt;2,0,INDEX(M:M,ROW()-3))</f>
        <v>21810</v>
      </c>
      <c r="I227" cm="1">
        <f t="array" ref="I227">S226+IF(ROW()-3&lt;2,0,INDEX(N:N,ROW()-3))</f>
        <v>1958</v>
      </c>
      <c r="J227" cm="1">
        <f t="array" ref="J227">T226+IF(ROW()-3&lt;2,0,INDEX(O:O,ROW()-3))</f>
        <v>637</v>
      </c>
      <c r="K227" cm="1">
        <f t="array" ref="K227">U226+IF(ROW()-3&lt;2,0,INDEX(P:P,ROW()-3))</f>
        <v>704</v>
      </c>
      <c r="L227">
        <f>IF(Q227&lt;_xlfn.XLOOKUP(L$1,Capacity!$D$3:$D$7,Capacity!$E$3:$E$7),_xlfn.XLOOKUP(L$1,Capacity!$D$3:$D$7,Capacity!$F$3:$F$7)-Q227,0)</f>
        <v>0</v>
      </c>
      <c r="M227">
        <f>IF(R227&lt;_xlfn.XLOOKUP(M$1,Capacity!$D$3:$D$7,Capacity!$E$3:$E$7),_xlfn.XLOOKUP(M$1,Capacity!$D$3:$D$7,Capacity!$F$3:$F$7)-R227,0)</f>
        <v>0</v>
      </c>
      <c r="N227">
        <f>IF(S227&lt;_xlfn.XLOOKUP(N$1,Capacity!$D$3:$D$7,Capacity!$E$3:$E$7),_xlfn.XLOOKUP(N$1,Capacity!$D$3:$D$7,Capacity!$F$3:$F$7)-S227,0)</f>
        <v>0</v>
      </c>
      <c r="O227">
        <f>IF(T227&lt;_xlfn.XLOOKUP(O$1,Capacity!$D$3:$D$7,Capacity!$E$3:$E$7),_xlfn.XLOOKUP(O$1,Capacity!$D$3:$D$7,Capacity!$F$3:$F$7)-T227,0)</f>
        <v>0</v>
      </c>
      <c r="P227">
        <f>IF(U227&lt;_xlfn.XLOOKUP(P$1,Capacity!$D$3:$D$7,Capacity!$E$3:$E$7),_xlfn.XLOOKUP(P$1,Capacity!$D$3:$D$7,Capacity!$F$3:$F$7)-U227,0)</f>
        <v>0</v>
      </c>
      <c r="Q227">
        <f t="shared" si="19"/>
        <v>5944</v>
      </c>
      <c r="R227">
        <f t="shared" si="20"/>
        <v>21810</v>
      </c>
      <c r="S227">
        <f t="shared" si="21"/>
        <v>1958</v>
      </c>
      <c r="T227">
        <f t="shared" si="22"/>
        <v>637</v>
      </c>
      <c r="U227">
        <f t="shared" si="23"/>
        <v>704</v>
      </c>
    </row>
    <row r="228" spans="1:21">
      <c r="A228" s="5">
        <f t="shared" si="24"/>
        <v>46249</v>
      </c>
      <c r="B228">
        <f>SUMIFS('Demand Projection'!$D$2:$D$169,'Demand Projection'!$B$2:$B$169,B$1,'Demand Projection'!$C$2:$C$169,$A228)</f>
        <v>0</v>
      </c>
      <c r="C228">
        <f>SUMIFS('Demand Projection'!$D$2:$D$169,'Demand Projection'!$B$2:$B$169,C$1,'Demand Projection'!$C$2:$C$169,$A228)</f>
        <v>0</v>
      </c>
      <c r="D228">
        <f>SUMIFS('Demand Projection'!$D$2:$D$169,'Demand Projection'!$B$2:$B$169,D$1,'Demand Projection'!$C$2:$C$169,$A228)</f>
        <v>0</v>
      </c>
      <c r="E228">
        <f>SUMIFS('Demand Projection'!$D$2:$D$169,'Demand Projection'!$B$2:$B$169,E$1,'Demand Projection'!$C$2:$C$169,$A228)</f>
        <v>0</v>
      </c>
      <c r="F228">
        <f>SUMIFS('Demand Projection'!$D$2:$D$169,'Demand Projection'!$B$2:$B$169,F$1,'Demand Projection'!$C$2:$C$169,$A228)</f>
        <v>0</v>
      </c>
      <c r="G228" cm="1">
        <f t="array" ref="G228">Q227+IF(ROW()-3&lt;2,0,INDEX(L:L,ROW()-3))</f>
        <v>5944</v>
      </c>
      <c r="H228" cm="1">
        <f t="array" ref="H228">R227+IF(ROW()-3&lt;2,0,INDEX(M:M,ROW()-3))</f>
        <v>21810</v>
      </c>
      <c r="I228" cm="1">
        <f t="array" ref="I228">S227+IF(ROW()-3&lt;2,0,INDEX(N:N,ROW()-3))</f>
        <v>1958</v>
      </c>
      <c r="J228" cm="1">
        <f t="array" ref="J228">T227+IF(ROW()-3&lt;2,0,INDEX(O:O,ROW()-3))</f>
        <v>637</v>
      </c>
      <c r="K228" cm="1">
        <f t="array" ref="K228">U227+IF(ROW()-3&lt;2,0,INDEX(P:P,ROW()-3))</f>
        <v>704</v>
      </c>
      <c r="L228">
        <f>IF(Q228&lt;_xlfn.XLOOKUP(L$1,Capacity!$D$3:$D$7,Capacity!$E$3:$E$7),_xlfn.XLOOKUP(L$1,Capacity!$D$3:$D$7,Capacity!$F$3:$F$7)-Q228,0)</f>
        <v>0</v>
      </c>
      <c r="M228">
        <f>IF(R228&lt;_xlfn.XLOOKUP(M$1,Capacity!$D$3:$D$7,Capacity!$E$3:$E$7),_xlfn.XLOOKUP(M$1,Capacity!$D$3:$D$7,Capacity!$F$3:$F$7)-R228,0)</f>
        <v>0</v>
      </c>
      <c r="N228">
        <f>IF(S228&lt;_xlfn.XLOOKUP(N$1,Capacity!$D$3:$D$7,Capacity!$E$3:$E$7),_xlfn.XLOOKUP(N$1,Capacity!$D$3:$D$7,Capacity!$F$3:$F$7)-S228,0)</f>
        <v>0</v>
      </c>
      <c r="O228">
        <f>IF(T228&lt;_xlfn.XLOOKUP(O$1,Capacity!$D$3:$D$7,Capacity!$E$3:$E$7),_xlfn.XLOOKUP(O$1,Capacity!$D$3:$D$7,Capacity!$F$3:$F$7)-T228,0)</f>
        <v>0</v>
      </c>
      <c r="P228">
        <f>IF(U228&lt;_xlfn.XLOOKUP(P$1,Capacity!$D$3:$D$7,Capacity!$E$3:$E$7),_xlfn.XLOOKUP(P$1,Capacity!$D$3:$D$7,Capacity!$F$3:$F$7)-U228,0)</f>
        <v>0</v>
      </c>
      <c r="Q228">
        <f t="shared" si="19"/>
        <v>5944</v>
      </c>
      <c r="R228">
        <f t="shared" si="20"/>
        <v>21810</v>
      </c>
      <c r="S228">
        <f t="shared" si="21"/>
        <v>1958</v>
      </c>
      <c r="T228">
        <f t="shared" si="22"/>
        <v>637</v>
      </c>
      <c r="U228">
        <f t="shared" si="23"/>
        <v>704</v>
      </c>
    </row>
    <row r="229" spans="1:21">
      <c r="A229" s="5">
        <f t="shared" si="24"/>
        <v>46250</v>
      </c>
      <c r="B229">
        <f>SUMIFS('Demand Projection'!$D$2:$D$169,'Demand Projection'!$B$2:$B$169,B$1,'Demand Projection'!$C$2:$C$169,$A229)</f>
        <v>0</v>
      </c>
      <c r="C229">
        <f>SUMIFS('Demand Projection'!$D$2:$D$169,'Demand Projection'!$B$2:$B$169,C$1,'Demand Projection'!$C$2:$C$169,$A229)</f>
        <v>0</v>
      </c>
      <c r="D229">
        <f>SUMIFS('Demand Projection'!$D$2:$D$169,'Demand Projection'!$B$2:$B$169,D$1,'Demand Projection'!$C$2:$C$169,$A229)</f>
        <v>0</v>
      </c>
      <c r="E229">
        <f>SUMIFS('Demand Projection'!$D$2:$D$169,'Demand Projection'!$B$2:$B$169,E$1,'Demand Projection'!$C$2:$C$169,$A229)</f>
        <v>0</v>
      </c>
      <c r="F229">
        <f>SUMIFS('Demand Projection'!$D$2:$D$169,'Demand Projection'!$B$2:$B$169,F$1,'Demand Projection'!$C$2:$C$169,$A229)</f>
        <v>0</v>
      </c>
      <c r="G229" cm="1">
        <f t="array" ref="G229">Q228+IF(ROW()-3&lt;2,0,INDEX(L:L,ROW()-3))</f>
        <v>5944</v>
      </c>
      <c r="H229" cm="1">
        <f t="array" ref="H229">R228+IF(ROW()-3&lt;2,0,INDEX(M:M,ROW()-3))</f>
        <v>21810</v>
      </c>
      <c r="I229" cm="1">
        <f t="array" ref="I229">S228+IF(ROW()-3&lt;2,0,INDEX(N:N,ROW()-3))</f>
        <v>1958</v>
      </c>
      <c r="J229" cm="1">
        <f t="array" ref="J229">T228+IF(ROW()-3&lt;2,0,INDEX(O:O,ROW()-3))</f>
        <v>637</v>
      </c>
      <c r="K229" cm="1">
        <f t="array" ref="K229">U228+IF(ROW()-3&lt;2,0,INDEX(P:P,ROW()-3))</f>
        <v>704</v>
      </c>
      <c r="L229">
        <f>IF(Q229&lt;_xlfn.XLOOKUP(L$1,Capacity!$D$3:$D$7,Capacity!$E$3:$E$7),_xlfn.XLOOKUP(L$1,Capacity!$D$3:$D$7,Capacity!$F$3:$F$7)-Q229,0)</f>
        <v>0</v>
      </c>
      <c r="M229">
        <f>IF(R229&lt;_xlfn.XLOOKUP(M$1,Capacity!$D$3:$D$7,Capacity!$E$3:$E$7),_xlfn.XLOOKUP(M$1,Capacity!$D$3:$D$7,Capacity!$F$3:$F$7)-R229,0)</f>
        <v>0</v>
      </c>
      <c r="N229">
        <f>IF(S229&lt;_xlfn.XLOOKUP(N$1,Capacity!$D$3:$D$7,Capacity!$E$3:$E$7),_xlfn.XLOOKUP(N$1,Capacity!$D$3:$D$7,Capacity!$F$3:$F$7)-S229,0)</f>
        <v>0</v>
      </c>
      <c r="O229">
        <f>IF(T229&lt;_xlfn.XLOOKUP(O$1,Capacity!$D$3:$D$7,Capacity!$E$3:$E$7),_xlfn.XLOOKUP(O$1,Capacity!$D$3:$D$7,Capacity!$F$3:$F$7)-T229,0)</f>
        <v>0</v>
      </c>
      <c r="P229">
        <f>IF(U229&lt;_xlfn.XLOOKUP(P$1,Capacity!$D$3:$D$7,Capacity!$E$3:$E$7),_xlfn.XLOOKUP(P$1,Capacity!$D$3:$D$7,Capacity!$F$3:$F$7)-U229,0)</f>
        <v>0</v>
      </c>
      <c r="Q229">
        <f t="shared" si="19"/>
        <v>5944</v>
      </c>
      <c r="R229">
        <f t="shared" si="20"/>
        <v>21810</v>
      </c>
      <c r="S229">
        <f t="shared" si="21"/>
        <v>1958</v>
      </c>
      <c r="T229">
        <f t="shared" si="22"/>
        <v>637</v>
      </c>
      <c r="U229">
        <f t="shared" si="23"/>
        <v>704</v>
      </c>
    </row>
    <row r="230" spans="1:21">
      <c r="A230" s="5">
        <f t="shared" si="24"/>
        <v>46251</v>
      </c>
      <c r="B230">
        <f>SUMIFS('Demand Projection'!$D$2:$D$169,'Demand Projection'!$B$2:$B$169,B$1,'Demand Projection'!$C$2:$C$169,$A230)</f>
        <v>0</v>
      </c>
      <c r="C230">
        <f>SUMIFS('Demand Projection'!$D$2:$D$169,'Demand Projection'!$B$2:$B$169,C$1,'Demand Projection'!$C$2:$C$169,$A230)</f>
        <v>0</v>
      </c>
      <c r="D230">
        <f>SUMIFS('Demand Projection'!$D$2:$D$169,'Demand Projection'!$B$2:$B$169,D$1,'Demand Projection'!$C$2:$C$169,$A230)</f>
        <v>0</v>
      </c>
      <c r="E230">
        <f>SUMIFS('Demand Projection'!$D$2:$D$169,'Demand Projection'!$B$2:$B$169,E$1,'Demand Projection'!$C$2:$C$169,$A230)</f>
        <v>659</v>
      </c>
      <c r="F230">
        <f>SUMIFS('Demand Projection'!$D$2:$D$169,'Demand Projection'!$B$2:$B$169,F$1,'Demand Projection'!$C$2:$C$169,$A230)</f>
        <v>0</v>
      </c>
      <c r="G230" cm="1">
        <f t="array" ref="G230">Q229+IF(ROW()-3&lt;2,0,INDEX(L:L,ROW()-3))</f>
        <v>5944</v>
      </c>
      <c r="H230" cm="1">
        <f t="array" ref="H230">R229+IF(ROW()-3&lt;2,0,INDEX(M:M,ROW()-3))</f>
        <v>21810</v>
      </c>
      <c r="I230" cm="1">
        <f t="array" ref="I230">S229+IF(ROW()-3&lt;2,0,INDEX(N:N,ROW()-3))</f>
        <v>1958</v>
      </c>
      <c r="J230" cm="1">
        <f t="array" ref="J230">T229+IF(ROW()-3&lt;2,0,INDEX(O:O,ROW()-3))</f>
        <v>637</v>
      </c>
      <c r="K230" cm="1">
        <f t="array" ref="K230">U229+IF(ROW()-3&lt;2,0,INDEX(P:P,ROW()-3))</f>
        <v>704</v>
      </c>
      <c r="L230">
        <f>IF(Q230&lt;_xlfn.XLOOKUP(L$1,Capacity!$D$3:$D$7,Capacity!$E$3:$E$7),_xlfn.XLOOKUP(L$1,Capacity!$D$3:$D$7,Capacity!$F$3:$F$7)-Q230,0)</f>
        <v>0</v>
      </c>
      <c r="M230">
        <f>IF(R230&lt;_xlfn.XLOOKUP(M$1,Capacity!$D$3:$D$7,Capacity!$E$3:$E$7),_xlfn.XLOOKUP(M$1,Capacity!$D$3:$D$7,Capacity!$F$3:$F$7)-R230,0)</f>
        <v>0</v>
      </c>
      <c r="N230">
        <f>IF(S230&lt;_xlfn.XLOOKUP(N$1,Capacity!$D$3:$D$7,Capacity!$E$3:$E$7),_xlfn.XLOOKUP(N$1,Capacity!$D$3:$D$7,Capacity!$F$3:$F$7)-S230,0)</f>
        <v>0</v>
      </c>
      <c r="O230">
        <f>IF(T230&lt;_xlfn.XLOOKUP(O$1,Capacity!$D$3:$D$7,Capacity!$E$3:$E$7),_xlfn.XLOOKUP(O$1,Capacity!$D$3:$D$7,Capacity!$F$3:$F$7)-T230,0)</f>
        <v>3296</v>
      </c>
      <c r="P230">
        <f>IF(U230&lt;_xlfn.XLOOKUP(P$1,Capacity!$D$3:$D$7,Capacity!$E$3:$E$7),_xlfn.XLOOKUP(P$1,Capacity!$D$3:$D$7,Capacity!$F$3:$F$7)-U230,0)</f>
        <v>0</v>
      </c>
      <c r="Q230">
        <f t="shared" si="19"/>
        <v>5944</v>
      </c>
      <c r="R230">
        <f t="shared" si="20"/>
        <v>21810</v>
      </c>
      <c r="S230">
        <f t="shared" si="21"/>
        <v>1958</v>
      </c>
      <c r="T230">
        <f t="shared" si="22"/>
        <v>-22</v>
      </c>
      <c r="U230">
        <f t="shared" si="23"/>
        <v>704</v>
      </c>
    </row>
    <row r="231" spans="1:21">
      <c r="A231" s="5">
        <f t="shared" si="24"/>
        <v>46252</v>
      </c>
      <c r="B231">
        <f>SUMIFS('Demand Projection'!$D$2:$D$169,'Demand Projection'!$B$2:$B$169,B$1,'Demand Projection'!$C$2:$C$169,$A231)</f>
        <v>0</v>
      </c>
      <c r="C231">
        <f>SUMIFS('Demand Projection'!$D$2:$D$169,'Demand Projection'!$B$2:$B$169,C$1,'Demand Projection'!$C$2:$C$169,$A231)</f>
        <v>0</v>
      </c>
      <c r="D231">
        <f>SUMIFS('Demand Projection'!$D$2:$D$169,'Demand Projection'!$B$2:$B$169,D$1,'Demand Projection'!$C$2:$C$169,$A231)</f>
        <v>0</v>
      </c>
      <c r="E231">
        <f>SUMIFS('Demand Projection'!$D$2:$D$169,'Demand Projection'!$B$2:$B$169,E$1,'Demand Projection'!$C$2:$C$169,$A231)</f>
        <v>0</v>
      </c>
      <c r="F231">
        <f>SUMIFS('Demand Projection'!$D$2:$D$169,'Demand Projection'!$B$2:$B$169,F$1,'Demand Projection'!$C$2:$C$169,$A231)</f>
        <v>0</v>
      </c>
      <c r="G231" cm="1">
        <f t="array" ref="G231">Q230+IF(ROW()-3&lt;2,0,INDEX(L:L,ROW()-3))</f>
        <v>5944</v>
      </c>
      <c r="H231" cm="1">
        <f t="array" ref="H231">R230+IF(ROW()-3&lt;2,0,INDEX(M:M,ROW()-3))</f>
        <v>21810</v>
      </c>
      <c r="I231" cm="1">
        <f t="array" ref="I231">S230+IF(ROW()-3&lt;2,0,INDEX(N:N,ROW()-3))</f>
        <v>1958</v>
      </c>
      <c r="J231" cm="1">
        <f t="array" ref="J231">T230+IF(ROW()-3&lt;2,0,INDEX(O:O,ROW()-3))</f>
        <v>-22</v>
      </c>
      <c r="K231" cm="1">
        <f t="array" ref="K231">U230+IF(ROW()-3&lt;2,0,INDEX(P:P,ROW()-3))</f>
        <v>704</v>
      </c>
      <c r="L231">
        <f>IF(Q231&lt;_xlfn.XLOOKUP(L$1,Capacity!$D$3:$D$7,Capacity!$E$3:$E$7),_xlfn.XLOOKUP(L$1,Capacity!$D$3:$D$7,Capacity!$F$3:$F$7)-Q231,0)</f>
        <v>0</v>
      </c>
      <c r="M231">
        <f>IF(R231&lt;_xlfn.XLOOKUP(M$1,Capacity!$D$3:$D$7,Capacity!$E$3:$E$7),_xlfn.XLOOKUP(M$1,Capacity!$D$3:$D$7,Capacity!$F$3:$F$7)-R231,0)</f>
        <v>0</v>
      </c>
      <c r="N231">
        <f>IF(S231&lt;_xlfn.XLOOKUP(N$1,Capacity!$D$3:$D$7,Capacity!$E$3:$E$7),_xlfn.XLOOKUP(N$1,Capacity!$D$3:$D$7,Capacity!$F$3:$F$7)-S231,0)</f>
        <v>0</v>
      </c>
      <c r="O231">
        <f>IF(T231&lt;_xlfn.XLOOKUP(O$1,Capacity!$D$3:$D$7,Capacity!$E$3:$E$7),_xlfn.XLOOKUP(O$1,Capacity!$D$3:$D$7,Capacity!$F$3:$F$7)-T231,0)</f>
        <v>3296</v>
      </c>
      <c r="P231">
        <f>IF(U231&lt;_xlfn.XLOOKUP(P$1,Capacity!$D$3:$D$7,Capacity!$E$3:$E$7),_xlfn.XLOOKUP(P$1,Capacity!$D$3:$D$7,Capacity!$F$3:$F$7)-U231,0)</f>
        <v>0</v>
      </c>
      <c r="Q231">
        <f t="shared" si="19"/>
        <v>5944</v>
      </c>
      <c r="R231">
        <f t="shared" si="20"/>
        <v>21810</v>
      </c>
      <c r="S231">
        <f t="shared" si="21"/>
        <v>1958</v>
      </c>
      <c r="T231">
        <f t="shared" si="22"/>
        <v>-22</v>
      </c>
      <c r="U231">
        <f t="shared" si="23"/>
        <v>704</v>
      </c>
    </row>
    <row r="232" spans="1:21">
      <c r="A232" s="5">
        <f t="shared" si="24"/>
        <v>46253</v>
      </c>
      <c r="B232">
        <f>SUMIFS('Demand Projection'!$D$2:$D$169,'Demand Projection'!$B$2:$B$169,B$1,'Demand Projection'!$C$2:$C$169,$A232)</f>
        <v>0</v>
      </c>
      <c r="C232">
        <f>SUMIFS('Demand Projection'!$D$2:$D$169,'Demand Projection'!$B$2:$B$169,C$1,'Demand Projection'!$C$2:$C$169,$A232)</f>
        <v>0</v>
      </c>
      <c r="D232">
        <f>SUMIFS('Demand Projection'!$D$2:$D$169,'Demand Projection'!$B$2:$B$169,D$1,'Demand Projection'!$C$2:$C$169,$A232)</f>
        <v>0</v>
      </c>
      <c r="E232">
        <f>SUMIFS('Demand Projection'!$D$2:$D$169,'Demand Projection'!$B$2:$B$169,E$1,'Demand Projection'!$C$2:$C$169,$A232)</f>
        <v>0</v>
      </c>
      <c r="F232">
        <f>SUMIFS('Demand Projection'!$D$2:$D$169,'Demand Projection'!$B$2:$B$169,F$1,'Demand Projection'!$C$2:$C$169,$A232)</f>
        <v>0</v>
      </c>
      <c r="G232" cm="1">
        <f t="array" ref="G232">Q231+IF(ROW()-3&lt;2,0,INDEX(L:L,ROW()-3))</f>
        <v>5944</v>
      </c>
      <c r="H232" cm="1">
        <f t="array" ref="H232">R231+IF(ROW()-3&lt;2,0,INDEX(M:M,ROW()-3))</f>
        <v>21810</v>
      </c>
      <c r="I232" cm="1">
        <f t="array" ref="I232">S231+IF(ROW()-3&lt;2,0,INDEX(N:N,ROW()-3))</f>
        <v>1958</v>
      </c>
      <c r="J232" cm="1">
        <f t="array" ref="J232">T231+IF(ROW()-3&lt;2,0,INDEX(O:O,ROW()-3))</f>
        <v>-22</v>
      </c>
      <c r="K232" cm="1">
        <f t="array" ref="K232">U231+IF(ROW()-3&lt;2,0,INDEX(P:P,ROW()-3))</f>
        <v>704</v>
      </c>
      <c r="L232">
        <f>IF(Q232&lt;_xlfn.XLOOKUP(L$1,Capacity!$D$3:$D$7,Capacity!$E$3:$E$7),_xlfn.XLOOKUP(L$1,Capacity!$D$3:$D$7,Capacity!$F$3:$F$7)-Q232,0)</f>
        <v>0</v>
      </c>
      <c r="M232">
        <f>IF(R232&lt;_xlfn.XLOOKUP(M$1,Capacity!$D$3:$D$7,Capacity!$E$3:$E$7),_xlfn.XLOOKUP(M$1,Capacity!$D$3:$D$7,Capacity!$F$3:$F$7)-R232,0)</f>
        <v>0</v>
      </c>
      <c r="N232">
        <f>IF(S232&lt;_xlfn.XLOOKUP(N$1,Capacity!$D$3:$D$7,Capacity!$E$3:$E$7),_xlfn.XLOOKUP(N$1,Capacity!$D$3:$D$7,Capacity!$F$3:$F$7)-S232,0)</f>
        <v>0</v>
      </c>
      <c r="O232">
        <f>IF(T232&lt;_xlfn.XLOOKUP(O$1,Capacity!$D$3:$D$7,Capacity!$E$3:$E$7),_xlfn.XLOOKUP(O$1,Capacity!$D$3:$D$7,Capacity!$F$3:$F$7)-T232,0)</f>
        <v>3296</v>
      </c>
      <c r="P232">
        <f>IF(U232&lt;_xlfn.XLOOKUP(P$1,Capacity!$D$3:$D$7,Capacity!$E$3:$E$7),_xlfn.XLOOKUP(P$1,Capacity!$D$3:$D$7,Capacity!$F$3:$F$7)-U232,0)</f>
        <v>0</v>
      </c>
      <c r="Q232">
        <f t="shared" si="19"/>
        <v>5944</v>
      </c>
      <c r="R232">
        <f t="shared" si="20"/>
        <v>21810</v>
      </c>
      <c r="S232">
        <f t="shared" si="21"/>
        <v>1958</v>
      </c>
      <c r="T232">
        <f t="shared" si="22"/>
        <v>-22</v>
      </c>
      <c r="U232">
        <f t="shared" si="23"/>
        <v>704</v>
      </c>
    </row>
    <row r="233" spans="1:21">
      <c r="A233" s="5">
        <f t="shared" si="24"/>
        <v>46254</v>
      </c>
      <c r="B233">
        <f>SUMIFS('Demand Projection'!$D$2:$D$169,'Demand Projection'!$B$2:$B$169,B$1,'Demand Projection'!$C$2:$C$169,$A233)</f>
        <v>0</v>
      </c>
      <c r="C233">
        <f>SUMIFS('Demand Projection'!$D$2:$D$169,'Demand Projection'!$B$2:$B$169,C$1,'Demand Projection'!$C$2:$C$169,$A233)</f>
        <v>0</v>
      </c>
      <c r="D233">
        <f>SUMIFS('Demand Projection'!$D$2:$D$169,'Demand Projection'!$B$2:$B$169,D$1,'Demand Projection'!$C$2:$C$169,$A233)</f>
        <v>607</v>
      </c>
      <c r="E233">
        <f>SUMIFS('Demand Projection'!$D$2:$D$169,'Demand Projection'!$B$2:$B$169,E$1,'Demand Projection'!$C$2:$C$169,$A233)</f>
        <v>0</v>
      </c>
      <c r="F233">
        <f>SUMIFS('Demand Projection'!$D$2:$D$169,'Demand Projection'!$B$2:$B$169,F$1,'Demand Projection'!$C$2:$C$169,$A233)</f>
        <v>0</v>
      </c>
      <c r="G233" cm="1">
        <f t="array" ref="G233">Q232+IF(ROW()-3&lt;2,0,INDEX(L:L,ROW()-3))</f>
        <v>5944</v>
      </c>
      <c r="H233" cm="1">
        <f t="array" ref="H233">R232+IF(ROW()-3&lt;2,0,INDEX(M:M,ROW()-3))</f>
        <v>21810</v>
      </c>
      <c r="I233" cm="1">
        <f t="array" ref="I233">S232+IF(ROW()-3&lt;2,0,INDEX(N:N,ROW()-3))</f>
        <v>1958</v>
      </c>
      <c r="J233" cm="1">
        <f t="array" ref="J233">T232+IF(ROW()-3&lt;2,0,INDEX(O:O,ROW()-3))</f>
        <v>3274</v>
      </c>
      <c r="K233" cm="1">
        <f t="array" ref="K233">U232+IF(ROW()-3&lt;2,0,INDEX(P:P,ROW()-3))</f>
        <v>704</v>
      </c>
      <c r="L233">
        <f>IF(Q233&lt;_xlfn.XLOOKUP(L$1,Capacity!$D$3:$D$7,Capacity!$E$3:$E$7),_xlfn.XLOOKUP(L$1,Capacity!$D$3:$D$7,Capacity!$F$3:$F$7)-Q233,0)</f>
        <v>0</v>
      </c>
      <c r="M233">
        <f>IF(R233&lt;_xlfn.XLOOKUP(M$1,Capacity!$D$3:$D$7,Capacity!$E$3:$E$7),_xlfn.XLOOKUP(M$1,Capacity!$D$3:$D$7,Capacity!$F$3:$F$7)-R233,0)</f>
        <v>0</v>
      </c>
      <c r="N233">
        <f>IF(S233&lt;_xlfn.XLOOKUP(N$1,Capacity!$D$3:$D$7,Capacity!$E$3:$E$7),_xlfn.XLOOKUP(N$1,Capacity!$D$3:$D$7,Capacity!$F$3:$F$7)-S233,0)</f>
        <v>0</v>
      </c>
      <c r="O233">
        <f>IF(T233&lt;_xlfn.XLOOKUP(O$1,Capacity!$D$3:$D$7,Capacity!$E$3:$E$7),_xlfn.XLOOKUP(O$1,Capacity!$D$3:$D$7,Capacity!$F$3:$F$7)-T233,0)</f>
        <v>0</v>
      </c>
      <c r="P233">
        <f>IF(U233&lt;_xlfn.XLOOKUP(P$1,Capacity!$D$3:$D$7,Capacity!$E$3:$E$7),_xlfn.XLOOKUP(P$1,Capacity!$D$3:$D$7,Capacity!$F$3:$F$7)-U233,0)</f>
        <v>0</v>
      </c>
      <c r="Q233">
        <f t="shared" si="19"/>
        <v>5944</v>
      </c>
      <c r="R233">
        <f t="shared" si="20"/>
        <v>21810</v>
      </c>
      <c r="S233">
        <f t="shared" si="21"/>
        <v>1351</v>
      </c>
      <c r="T233">
        <f t="shared" si="22"/>
        <v>3274</v>
      </c>
      <c r="U233">
        <f t="shared" si="23"/>
        <v>704</v>
      </c>
    </row>
    <row r="234" spans="1:21">
      <c r="A234" s="5">
        <f t="shared" si="24"/>
        <v>46255</v>
      </c>
      <c r="B234">
        <f>SUMIFS('Demand Projection'!$D$2:$D$169,'Demand Projection'!$B$2:$B$169,B$1,'Demand Projection'!$C$2:$C$169,$A234)</f>
        <v>0</v>
      </c>
      <c r="C234">
        <f>SUMIFS('Demand Projection'!$D$2:$D$169,'Demand Projection'!$B$2:$B$169,C$1,'Demand Projection'!$C$2:$C$169,$A234)</f>
        <v>0</v>
      </c>
      <c r="D234">
        <f>SUMIFS('Demand Projection'!$D$2:$D$169,'Demand Projection'!$B$2:$B$169,D$1,'Demand Projection'!$C$2:$C$169,$A234)</f>
        <v>0</v>
      </c>
      <c r="E234">
        <f>SUMIFS('Demand Projection'!$D$2:$D$169,'Demand Projection'!$B$2:$B$169,E$1,'Demand Projection'!$C$2:$C$169,$A234)</f>
        <v>0</v>
      </c>
      <c r="F234">
        <f>SUMIFS('Demand Projection'!$D$2:$D$169,'Demand Projection'!$B$2:$B$169,F$1,'Demand Projection'!$C$2:$C$169,$A234)</f>
        <v>0</v>
      </c>
      <c r="G234" cm="1">
        <f t="array" ref="G234">Q233+IF(ROW()-3&lt;2,0,INDEX(L:L,ROW()-3))</f>
        <v>5944</v>
      </c>
      <c r="H234" cm="1">
        <f t="array" ref="H234">R233+IF(ROW()-3&lt;2,0,INDEX(M:M,ROW()-3))</f>
        <v>21810</v>
      </c>
      <c r="I234" cm="1">
        <f t="array" ref="I234">S233+IF(ROW()-3&lt;2,0,INDEX(N:N,ROW()-3))</f>
        <v>1351</v>
      </c>
      <c r="J234" cm="1">
        <f t="array" ref="J234">T233+IF(ROW()-3&lt;2,0,INDEX(O:O,ROW()-3))</f>
        <v>6570</v>
      </c>
      <c r="K234" cm="1">
        <f t="array" ref="K234">U233+IF(ROW()-3&lt;2,0,INDEX(P:P,ROW()-3))</f>
        <v>704</v>
      </c>
      <c r="L234">
        <f>IF(Q234&lt;_xlfn.XLOOKUP(L$1,Capacity!$D$3:$D$7,Capacity!$E$3:$E$7),_xlfn.XLOOKUP(L$1,Capacity!$D$3:$D$7,Capacity!$F$3:$F$7)-Q234,0)</f>
        <v>0</v>
      </c>
      <c r="M234">
        <f>IF(R234&lt;_xlfn.XLOOKUP(M$1,Capacity!$D$3:$D$7,Capacity!$E$3:$E$7),_xlfn.XLOOKUP(M$1,Capacity!$D$3:$D$7,Capacity!$F$3:$F$7)-R234,0)</f>
        <v>0</v>
      </c>
      <c r="N234">
        <f>IF(S234&lt;_xlfn.XLOOKUP(N$1,Capacity!$D$3:$D$7,Capacity!$E$3:$E$7),_xlfn.XLOOKUP(N$1,Capacity!$D$3:$D$7,Capacity!$F$3:$F$7)-S234,0)</f>
        <v>0</v>
      </c>
      <c r="O234">
        <f>IF(T234&lt;_xlfn.XLOOKUP(O$1,Capacity!$D$3:$D$7,Capacity!$E$3:$E$7),_xlfn.XLOOKUP(O$1,Capacity!$D$3:$D$7,Capacity!$F$3:$F$7)-T234,0)</f>
        <v>0</v>
      </c>
      <c r="P234">
        <f>IF(U234&lt;_xlfn.XLOOKUP(P$1,Capacity!$D$3:$D$7,Capacity!$E$3:$E$7),_xlfn.XLOOKUP(P$1,Capacity!$D$3:$D$7,Capacity!$F$3:$F$7)-U234,0)</f>
        <v>0</v>
      </c>
      <c r="Q234">
        <f t="shared" si="19"/>
        <v>5944</v>
      </c>
      <c r="R234">
        <f t="shared" si="20"/>
        <v>21810</v>
      </c>
      <c r="S234">
        <f t="shared" si="21"/>
        <v>1351</v>
      </c>
      <c r="T234">
        <f t="shared" si="22"/>
        <v>6570</v>
      </c>
      <c r="U234">
        <f t="shared" si="23"/>
        <v>704</v>
      </c>
    </row>
    <row r="235" spans="1:21">
      <c r="A235" s="5">
        <f t="shared" si="24"/>
        <v>46256</v>
      </c>
      <c r="B235">
        <f>SUMIFS('Demand Projection'!$D$2:$D$169,'Demand Projection'!$B$2:$B$169,B$1,'Demand Projection'!$C$2:$C$169,$A235)</f>
        <v>0</v>
      </c>
      <c r="C235">
        <f>SUMIFS('Demand Projection'!$D$2:$D$169,'Demand Projection'!$B$2:$B$169,C$1,'Demand Projection'!$C$2:$C$169,$A235)</f>
        <v>0</v>
      </c>
      <c r="D235">
        <f>SUMIFS('Demand Projection'!$D$2:$D$169,'Demand Projection'!$B$2:$B$169,D$1,'Demand Projection'!$C$2:$C$169,$A235)</f>
        <v>0</v>
      </c>
      <c r="E235">
        <f>SUMIFS('Demand Projection'!$D$2:$D$169,'Demand Projection'!$B$2:$B$169,E$1,'Demand Projection'!$C$2:$C$169,$A235)</f>
        <v>0</v>
      </c>
      <c r="F235">
        <f>SUMIFS('Demand Projection'!$D$2:$D$169,'Demand Projection'!$B$2:$B$169,F$1,'Demand Projection'!$C$2:$C$169,$A235)</f>
        <v>0</v>
      </c>
      <c r="G235" cm="1">
        <f t="array" ref="G235">Q234+IF(ROW()-3&lt;2,0,INDEX(L:L,ROW()-3))</f>
        <v>5944</v>
      </c>
      <c r="H235" cm="1">
        <f t="array" ref="H235">R234+IF(ROW()-3&lt;2,0,INDEX(M:M,ROW()-3))</f>
        <v>21810</v>
      </c>
      <c r="I235" cm="1">
        <f t="array" ref="I235">S234+IF(ROW()-3&lt;2,0,INDEX(N:N,ROW()-3))</f>
        <v>1351</v>
      </c>
      <c r="J235" cm="1">
        <f t="array" ref="J235">T234+IF(ROW()-3&lt;2,0,INDEX(O:O,ROW()-3))</f>
        <v>9866</v>
      </c>
      <c r="K235" cm="1">
        <f t="array" ref="K235">U234+IF(ROW()-3&lt;2,0,INDEX(P:P,ROW()-3))</f>
        <v>704</v>
      </c>
      <c r="L235">
        <f>IF(Q235&lt;_xlfn.XLOOKUP(L$1,Capacity!$D$3:$D$7,Capacity!$E$3:$E$7),_xlfn.XLOOKUP(L$1,Capacity!$D$3:$D$7,Capacity!$F$3:$F$7)-Q235,0)</f>
        <v>0</v>
      </c>
      <c r="M235">
        <f>IF(R235&lt;_xlfn.XLOOKUP(M$1,Capacity!$D$3:$D$7,Capacity!$E$3:$E$7),_xlfn.XLOOKUP(M$1,Capacity!$D$3:$D$7,Capacity!$F$3:$F$7)-R235,0)</f>
        <v>0</v>
      </c>
      <c r="N235">
        <f>IF(S235&lt;_xlfn.XLOOKUP(N$1,Capacity!$D$3:$D$7,Capacity!$E$3:$E$7),_xlfn.XLOOKUP(N$1,Capacity!$D$3:$D$7,Capacity!$F$3:$F$7)-S235,0)</f>
        <v>0</v>
      </c>
      <c r="O235">
        <f>IF(T235&lt;_xlfn.XLOOKUP(O$1,Capacity!$D$3:$D$7,Capacity!$E$3:$E$7),_xlfn.XLOOKUP(O$1,Capacity!$D$3:$D$7,Capacity!$F$3:$F$7)-T235,0)</f>
        <v>0</v>
      </c>
      <c r="P235">
        <f>IF(U235&lt;_xlfn.XLOOKUP(P$1,Capacity!$D$3:$D$7,Capacity!$E$3:$E$7),_xlfn.XLOOKUP(P$1,Capacity!$D$3:$D$7,Capacity!$F$3:$F$7)-U235,0)</f>
        <v>0</v>
      </c>
      <c r="Q235">
        <f t="shared" si="19"/>
        <v>5944</v>
      </c>
      <c r="R235">
        <f t="shared" si="20"/>
        <v>21810</v>
      </c>
      <c r="S235">
        <f t="shared" si="21"/>
        <v>1351</v>
      </c>
      <c r="T235">
        <f t="shared" si="22"/>
        <v>9866</v>
      </c>
      <c r="U235">
        <f t="shared" si="23"/>
        <v>704</v>
      </c>
    </row>
    <row r="236" spans="1:21">
      <c r="A236" s="5">
        <f t="shared" si="24"/>
        <v>46257</v>
      </c>
      <c r="B236">
        <f>SUMIFS('Demand Projection'!$D$2:$D$169,'Demand Projection'!$B$2:$B$169,B$1,'Demand Projection'!$C$2:$C$169,$A236)</f>
        <v>0</v>
      </c>
      <c r="C236">
        <f>SUMIFS('Demand Projection'!$D$2:$D$169,'Demand Projection'!$B$2:$B$169,C$1,'Demand Projection'!$C$2:$C$169,$A236)</f>
        <v>0</v>
      </c>
      <c r="D236">
        <f>SUMIFS('Demand Projection'!$D$2:$D$169,'Demand Projection'!$B$2:$B$169,D$1,'Demand Projection'!$C$2:$C$169,$A236)</f>
        <v>0</v>
      </c>
      <c r="E236">
        <f>SUMIFS('Demand Projection'!$D$2:$D$169,'Demand Projection'!$B$2:$B$169,E$1,'Demand Projection'!$C$2:$C$169,$A236)</f>
        <v>0</v>
      </c>
      <c r="F236">
        <f>SUMIFS('Demand Projection'!$D$2:$D$169,'Demand Projection'!$B$2:$B$169,F$1,'Demand Projection'!$C$2:$C$169,$A236)</f>
        <v>0</v>
      </c>
      <c r="G236" cm="1">
        <f t="array" ref="G236">Q235+IF(ROW()-3&lt;2,0,INDEX(L:L,ROW()-3))</f>
        <v>5944</v>
      </c>
      <c r="H236" cm="1">
        <f t="array" ref="H236">R235+IF(ROW()-3&lt;2,0,INDEX(M:M,ROW()-3))</f>
        <v>21810</v>
      </c>
      <c r="I236" cm="1">
        <f t="array" ref="I236">S235+IF(ROW()-3&lt;2,0,INDEX(N:N,ROW()-3))</f>
        <v>1351</v>
      </c>
      <c r="J236" cm="1">
        <f t="array" ref="J236">T235+IF(ROW()-3&lt;2,0,INDEX(O:O,ROW()-3))</f>
        <v>9866</v>
      </c>
      <c r="K236" cm="1">
        <f t="array" ref="K236">U235+IF(ROW()-3&lt;2,0,INDEX(P:P,ROW()-3))</f>
        <v>704</v>
      </c>
      <c r="L236">
        <f>IF(Q236&lt;_xlfn.XLOOKUP(L$1,Capacity!$D$3:$D$7,Capacity!$E$3:$E$7),_xlfn.XLOOKUP(L$1,Capacity!$D$3:$D$7,Capacity!$F$3:$F$7)-Q236,0)</f>
        <v>0</v>
      </c>
      <c r="M236">
        <f>IF(R236&lt;_xlfn.XLOOKUP(M$1,Capacity!$D$3:$D$7,Capacity!$E$3:$E$7),_xlfn.XLOOKUP(M$1,Capacity!$D$3:$D$7,Capacity!$F$3:$F$7)-R236,0)</f>
        <v>0</v>
      </c>
      <c r="N236">
        <f>IF(S236&lt;_xlfn.XLOOKUP(N$1,Capacity!$D$3:$D$7,Capacity!$E$3:$E$7),_xlfn.XLOOKUP(N$1,Capacity!$D$3:$D$7,Capacity!$F$3:$F$7)-S236,0)</f>
        <v>0</v>
      </c>
      <c r="O236">
        <f>IF(T236&lt;_xlfn.XLOOKUP(O$1,Capacity!$D$3:$D$7,Capacity!$E$3:$E$7),_xlfn.XLOOKUP(O$1,Capacity!$D$3:$D$7,Capacity!$F$3:$F$7)-T236,0)</f>
        <v>0</v>
      </c>
      <c r="P236">
        <f>IF(U236&lt;_xlfn.XLOOKUP(P$1,Capacity!$D$3:$D$7,Capacity!$E$3:$E$7),_xlfn.XLOOKUP(P$1,Capacity!$D$3:$D$7,Capacity!$F$3:$F$7)-U236,0)</f>
        <v>0</v>
      </c>
      <c r="Q236">
        <f t="shared" si="19"/>
        <v>5944</v>
      </c>
      <c r="R236">
        <f t="shared" si="20"/>
        <v>21810</v>
      </c>
      <c r="S236">
        <f t="shared" si="21"/>
        <v>1351</v>
      </c>
      <c r="T236">
        <f t="shared" si="22"/>
        <v>9866</v>
      </c>
      <c r="U236">
        <f t="shared" si="23"/>
        <v>704</v>
      </c>
    </row>
    <row r="237" spans="1:21">
      <c r="A237" s="5">
        <f t="shared" si="24"/>
        <v>46258</v>
      </c>
      <c r="B237">
        <f>SUMIFS('Demand Projection'!$D$2:$D$169,'Demand Projection'!$B$2:$B$169,B$1,'Demand Projection'!$C$2:$C$169,$A237)</f>
        <v>838</v>
      </c>
      <c r="C237">
        <f>SUMIFS('Demand Projection'!$D$2:$D$169,'Demand Projection'!$B$2:$B$169,C$1,'Demand Projection'!$C$2:$C$169,$A237)</f>
        <v>0</v>
      </c>
      <c r="D237">
        <f>SUMIFS('Demand Projection'!$D$2:$D$169,'Demand Projection'!$B$2:$B$169,D$1,'Demand Projection'!$C$2:$C$169,$A237)</f>
        <v>0</v>
      </c>
      <c r="E237">
        <f>SUMIFS('Demand Projection'!$D$2:$D$169,'Demand Projection'!$B$2:$B$169,E$1,'Demand Projection'!$C$2:$C$169,$A237)</f>
        <v>0</v>
      </c>
      <c r="F237">
        <f>SUMIFS('Demand Projection'!$D$2:$D$169,'Demand Projection'!$B$2:$B$169,F$1,'Demand Projection'!$C$2:$C$169,$A237)</f>
        <v>0</v>
      </c>
      <c r="G237" cm="1">
        <f t="array" ref="G237">Q236+IF(ROW()-3&lt;2,0,INDEX(L:L,ROW()-3))</f>
        <v>5944</v>
      </c>
      <c r="H237" cm="1">
        <f t="array" ref="H237">R236+IF(ROW()-3&lt;2,0,INDEX(M:M,ROW()-3))</f>
        <v>21810</v>
      </c>
      <c r="I237" cm="1">
        <f t="array" ref="I237">S236+IF(ROW()-3&lt;2,0,INDEX(N:N,ROW()-3))</f>
        <v>1351</v>
      </c>
      <c r="J237" cm="1">
        <f t="array" ref="J237">T236+IF(ROW()-3&lt;2,0,INDEX(O:O,ROW()-3))</f>
        <v>9866</v>
      </c>
      <c r="K237" cm="1">
        <f t="array" ref="K237">U236+IF(ROW()-3&lt;2,0,INDEX(P:P,ROW()-3))</f>
        <v>704</v>
      </c>
      <c r="L237">
        <f>IF(Q237&lt;_xlfn.XLOOKUP(L$1,Capacity!$D$3:$D$7,Capacity!$E$3:$E$7),_xlfn.XLOOKUP(L$1,Capacity!$D$3:$D$7,Capacity!$F$3:$F$7)-Q237,0)</f>
        <v>0</v>
      </c>
      <c r="M237">
        <f>IF(R237&lt;_xlfn.XLOOKUP(M$1,Capacity!$D$3:$D$7,Capacity!$E$3:$E$7),_xlfn.XLOOKUP(M$1,Capacity!$D$3:$D$7,Capacity!$F$3:$F$7)-R237,0)</f>
        <v>0</v>
      </c>
      <c r="N237">
        <f>IF(S237&lt;_xlfn.XLOOKUP(N$1,Capacity!$D$3:$D$7,Capacity!$E$3:$E$7),_xlfn.XLOOKUP(N$1,Capacity!$D$3:$D$7,Capacity!$F$3:$F$7)-S237,0)</f>
        <v>0</v>
      </c>
      <c r="O237">
        <f>IF(T237&lt;_xlfn.XLOOKUP(O$1,Capacity!$D$3:$D$7,Capacity!$E$3:$E$7),_xlfn.XLOOKUP(O$1,Capacity!$D$3:$D$7,Capacity!$F$3:$F$7)-T237,0)</f>
        <v>0</v>
      </c>
      <c r="P237">
        <f>IF(U237&lt;_xlfn.XLOOKUP(P$1,Capacity!$D$3:$D$7,Capacity!$E$3:$E$7),_xlfn.XLOOKUP(P$1,Capacity!$D$3:$D$7,Capacity!$F$3:$F$7)-U237,0)</f>
        <v>0</v>
      </c>
      <c r="Q237">
        <f t="shared" si="19"/>
        <v>5106</v>
      </c>
      <c r="R237">
        <f t="shared" si="20"/>
        <v>21810</v>
      </c>
      <c r="S237">
        <f t="shared" si="21"/>
        <v>1351</v>
      </c>
      <c r="T237">
        <f t="shared" si="22"/>
        <v>9866</v>
      </c>
      <c r="U237">
        <f t="shared" si="23"/>
        <v>704</v>
      </c>
    </row>
    <row r="238" spans="1:21">
      <c r="A238" s="5">
        <f t="shared" si="24"/>
        <v>46259</v>
      </c>
      <c r="B238">
        <f>SUMIFS('Demand Projection'!$D$2:$D$169,'Demand Projection'!$B$2:$B$169,B$1,'Demand Projection'!$C$2:$C$169,$A238)</f>
        <v>0</v>
      </c>
      <c r="C238">
        <f>SUMIFS('Demand Projection'!$D$2:$D$169,'Demand Projection'!$B$2:$B$169,C$1,'Demand Projection'!$C$2:$C$169,$A238)</f>
        <v>0</v>
      </c>
      <c r="D238">
        <f>SUMIFS('Demand Projection'!$D$2:$D$169,'Demand Projection'!$B$2:$B$169,D$1,'Demand Projection'!$C$2:$C$169,$A238)</f>
        <v>0</v>
      </c>
      <c r="E238">
        <f>SUMIFS('Demand Projection'!$D$2:$D$169,'Demand Projection'!$B$2:$B$169,E$1,'Demand Projection'!$C$2:$C$169,$A238)</f>
        <v>0</v>
      </c>
      <c r="F238">
        <f>SUMIFS('Demand Projection'!$D$2:$D$169,'Demand Projection'!$B$2:$B$169,F$1,'Demand Projection'!$C$2:$C$169,$A238)</f>
        <v>0</v>
      </c>
      <c r="G238" cm="1">
        <f t="array" ref="G238">Q237+IF(ROW()-3&lt;2,0,INDEX(L:L,ROW()-3))</f>
        <v>5106</v>
      </c>
      <c r="H238" cm="1">
        <f t="array" ref="H238">R237+IF(ROW()-3&lt;2,0,INDEX(M:M,ROW()-3))</f>
        <v>21810</v>
      </c>
      <c r="I238" cm="1">
        <f t="array" ref="I238">S237+IF(ROW()-3&lt;2,0,INDEX(N:N,ROW()-3))</f>
        <v>1351</v>
      </c>
      <c r="J238" cm="1">
        <f t="array" ref="J238">T237+IF(ROW()-3&lt;2,0,INDEX(O:O,ROW()-3))</f>
        <v>9866</v>
      </c>
      <c r="K238" cm="1">
        <f t="array" ref="K238">U237+IF(ROW()-3&lt;2,0,INDEX(P:P,ROW()-3))</f>
        <v>704</v>
      </c>
      <c r="L238">
        <f>IF(Q238&lt;_xlfn.XLOOKUP(L$1,Capacity!$D$3:$D$7,Capacity!$E$3:$E$7),_xlfn.XLOOKUP(L$1,Capacity!$D$3:$D$7,Capacity!$F$3:$F$7)-Q238,0)</f>
        <v>0</v>
      </c>
      <c r="M238">
        <f>IF(R238&lt;_xlfn.XLOOKUP(M$1,Capacity!$D$3:$D$7,Capacity!$E$3:$E$7),_xlfn.XLOOKUP(M$1,Capacity!$D$3:$D$7,Capacity!$F$3:$F$7)-R238,0)</f>
        <v>0</v>
      </c>
      <c r="N238">
        <f>IF(S238&lt;_xlfn.XLOOKUP(N$1,Capacity!$D$3:$D$7,Capacity!$E$3:$E$7),_xlfn.XLOOKUP(N$1,Capacity!$D$3:$D$7,Capacity!$F$3:$F$7)-S238,0)</f>
        <v>0</v>
      </c>
      <c r="O238">
        <f>IF(T238&lt;_xlfn.XLOOKUP(O$1,Capacity!$D$3:$D$7,Capacity!$E$3:$E$7),_xlfn.XLOOKUP(O$1,Capacity!$D$3:$D$7,Capacity!$F$3:$F$7)-T238,0)</f>
        <v>0</v>
      </c>
      <c r="P238">
        <f>IF(U238&lt;_xlfn.XLOOKUP(P$1,Capacity!$D$3:$D$7,Capacity!$E$3:$E$7),_xlfn.XLOOKUP(P$1,Capacity!$D$3:$D$7,Capacity!$F$3:$F$7)-U238,0)</f>
        <v>0</v>
      </c>
      <c r="Q238">
        <f t="shared" si="19"/>
        <v>5106</v>
      </c>
      <c r="R238">
        <f t="shared" si="20"/>
        <v>21810</v>
      </c>
      <c r="S238">
        <f t="shared" si="21"/>
        <v>1351</v>
      </c>
      <c r="T238">
        <f t="shared" si="22"/>
        <v>9866</v>
      </c>
      <c r="U238">
        <f t="shared" si="23"/>
        <v>704</v>
      </c>
    </row>
    <row r="239" spans="1:21">
      <c r="A239" s="5">
        <f t="shared" si="24"/>
        <v>46260</v>
      </c>
      <c r="B239">
        <f>SUMIFS('Demand Projection'!$D$2:$D$169,'Demand Projection'!$B$2:$B$169,B$1,'Demand Projection'!$C$2:$C$169,$A239)</f>
        <v>0</v>
      </c>
      <c r="C239">
        <f>SUMIFS('Demand Projection'!$D$2:$D$169,'Demand Projection'!$B$2:$B$169,C$1,'Demand Projection'!$C$2:$C$169,$A239)</f>
        <v>0</v>
      </c>
      <c r="D239">
        <f>SUMIFS('Demand Projection'!$D$2:$D$169,'Demand Projection'!$B$2:$B$169,D$1,'Demand Projection'!$C$2:$C$169,$A239)</f>
        <v>0</v>
      </c>
      <c r="E239">
        <f>SUMIFS('Demand Projection'!$D$2:$D$169,'Demand Projection'!$B$2:$B$169,E$1,'Demand Projection'!$C$2:$C$169,$A239)</f>
        <v>0</v>
      </c>
      <c r="F239">
        <f>SUMIFS('Demand Projection'!$D$2:$D$169,'Demand Projection'!$B$2:$B$169,F$1,'Demand Projection'!$C$2:$C$169,$A239)</f>
        <v>0</v>
      </c>
      <c r="G239" cm="1">
        <f t="array" ref="G239">Q238+IF(ROW()-3&lt;2,0,INDEX(L:L,ROW()-3))</f>
        <v>5106</v>
      </c>
      <c r="H239" cm="1">
        <f t="array" ref="H239">R238+IF(ROW()-3&lt;2,0,INDEX(M:M,ROW()-3))</f>
        <v>21810</v>
      </c>
      <c r="I239" cm="1">
        <f t="array" ref="I239">S238+IF(ROW()-3&lt;2,0,INDEX(N:N,ROW()-3))</f>
        <v>1351</v>
      </c>
      <c r="J239" cm="1">
        <f t="array" ref="J239">T238+IF(ROW()-3&lt;2,0,INDEX(O:O,ROW()-3))</f>
        <v>9866</v>
      </c>
      <c r="K239" cm="1">
        <f t="array" ref="K239">U238+IF(ROW()-3&lt;2,0,INDEX(P:P,ROW()-3))</f>
        <v>704</v>
      </c>
      <c r="L239">
        <f>IF(Q239&lt;_xlfn.XLOOKUP(L$1,Capacity!$D$3:$D$7,Capacity!$E$3:$E$7),_xlfn.XLOOKUP(L$1,Capacity!$D$3:$D$7,Capacity!$F$3:$F$7)-Q239,0)</f>
        <v>0</v>
      </c>
      <c r="M239">
        <f>IF(R239&lt;_xlfn.XLOOKUP(M$1,Capacity!$D$3:$D$7,Capacity!$E$3:$E$7),_xlfn.XLOOKUP(M$1,Capacity!$D$3:$D$7,Capacity!$F$3:$F$7)-R239,0)</f>
        <v>0</v>
      </c>
      <c r="N239">
        <f>IF(S239&lt;_xlfn.XLOOKUP(N$1,Capacity!$D$3:$D$7,Capacity!$E$3:$E$7),_xlfn.XLOOKUP(N$1,Capacity!$D$3:$D$7,Capacity!$F$3:$F$7)-S239,0)</f>
        <v>0</v>
      </c>
      <c r="O239">
        <f>IF(T239&lt;_xlfn.XLOOKUP(O$1,Capacity!$D$3:$D$7,Capacity!$E$3:$E$7),_xlfn.XLOOKUP(O$1,Capacity!$D$3:$D$7,Capacity!$F$3:$F$7)-T239,0)</f>
        <v>0</v>
      </c>
      <c r="P239">
        <f>IF(U239&lt;_xlfn.XLOOKUP(P$1,Capacity!$D$3:$D$7,Capacity!$E$3:$E$7),_xlfn.XLOOKUP(P$1,Capacity!$D$3:$D$7,Capacity!$F$3:$F$7)-U239,0)</f>
        <v>0</v>
      </c>
      <c r="Q239">
        <f t="shared" si="19"/>
        <v>5106</v>
      </c>
      <c r="R239">
        <f t="shared" si="20"/>
        <v>21810</v>
      </c>
      <c r="S239">
        <f t="shared" si="21"/>
        <v>1351</v>
      </c>
      <c r="T239">
        <f t="shared" si="22"/>
        <v>9866</v>
      </c>
      <c r="U239">
        <f t="shared" si="23"/>
        <v>704</v>
      </c>
    </row>
    <row r="240" spans="1:21">
      <c r="A240" s="5">
        <f t="shared" si="24"/>
        <v>46261</v>
      </c>
      <c r="B240">
        <f>SUMIFS('Demand Projection'!$D$2:$D$169,'Demand Projection'!$B$2:$B$169,B$1,'Demand Projection'!$C$2:$C$169,$A240)</f>
        <v>0</v>
      </c>
      <c r="C240">
        <f>SUMIFS('Demand Projection'!$D$2:$D$169,'Demand Projection'!$B$2:$B$169,C$1,'Demand Projection'!$C$2:$C$169,$A240)</f>
        <v>0</v>
      </c>
      <c r="D240">
        <f>SUMIFS('Demand Projection'!$D$2:$D$169,'Demand Projection'!$B$2:$B$169,D$1,'Demand Projection'!$C$2:$C$169,$A240)</f>
        <v>0</v>
      </c>
      <c r="E240">
        <f>SUMIFS('Demand Projection'!$D$2:$D$169,'Demand Projection'!$B$2:$B$169,E$1,'Demand Projection'!$C$2:$C$169,$A240)</f>
        <v>0</v>
      </c>
      <c r="F240">
        <f>SUMIFS('Demand Projection'!$D$2:$D$169,'Demand Projection'!$B$2:$B$169,F$1,'Demand Projection'!$C$2:$C$169,$A240)</f>
        <v>0</v>
      </c>
      <c r="G240" cm="1">
        <f t="array" ref="G240">Q239+IF(ROW()-3&lt;2,0,INDEX(L:L,ROW()-3))</f>
        <v>5106</v>
      </c>
      <c r="H240" cm="1">
        <f t="array" ref="H240">R239+IF(ROW()-3&lt;2,0,INDEX(M:M,ROW()-3))</f>
        <v>21810</v>
      </c>
      <c r="I240" cm="1">
        <f t="array" ref="I240">S239+IF(ROW()-3&lt;2,0,INDEX(N:N,ROW()-3))</f>
        <v>1351</v>
      </c>
      <c r="J240" cm="1">
        <f t="array" ref="J240">T239+IF(ROW()-3&lt;2,0,INDEX(O:O,ROW()-3))</f>
        <v>9866</v>
      </c>
      <c r="K240" cm="1">
        <f t="array" ref="K240">U239+IF(ROW()-3&lt;2,0,INDEX(P:P,ROW()-3))</f>
        <v>704</v>
      </c>
      <c r="L240">
        <f>IF(Q240&lt;_xlfn.XLOOKUP(L$1,Capacity!$D$3:$D$7,Capacity!$E$3:$E$7),_xlfn.XLOOKUP(L$1,Capacity!$D$3:$D$7,Capacity!$F$3:$F$7)-Q240,0)</f>
        <v>0</v>
      </c>
      <c r="M240">
        <f>IF(R240&lt;_xlfn.XLOOKUP(M$1,Capacity!$D$3:$D$7,Capacity!$E$3:$E$7),_xlfn.XLOOKUP(M$1,Capacity!$D$3:$D$7,Capacity!$F$3:$F$7)-R240,0)</f>
        <v>0</v>
      </c>
      <c r="N240">
        <f>IF(S240&lt;_xlfn.XLOOKUP(N$1,Capacity!$D$3:$D$7,Capacity!$E$3:$E$7),_xlfn.XLOOKUP(N$1,Capacity!$D$3:$D$7,Capacity!$F$3:$F$7)-S240,0)</f>
        <v>0</v>
      </c>
      <c r="O240">
        <f>IF(T240&lt;_xlfn.XLOOKUP(O$1,Capacity!$D$3:$D$7,Capacity!$E$3:$E$7),_xlfn.XLOOKUP(O$1,Capacity!$D$3:$D$7,Capacity!$F$3:$F$7)-T240,0)</f>
        <v>0</v>
      </c>
      <c r="P240">
        <f>IF(U240&lt;_xlfn.XLOOKUP(P$1,Capacity!$D$3:$D$7,Capacity!$E$3:$E$7),_xlfn.XLOOKUP(P$1,Capacity!$D$3:$D$7,Capacity!$F$3:$F$7)-U240,0)</f>
        <v>0</v>
      </c>
      <c r="Q240">
        <f t="shared" si="19"/>
        <v>5106</v>
      </c>
      <c r="R240">
        <f t="shared" si="20"/>
        <v>21810</v>
      </c>
      <c r="S240">
        <f t="shared" si="21"/>
        <v>1351</v>
      </c>
      <c r="T240">
        <f t="shared" si="22"/>
        <v>9866</v>
      </c>
      <c r="U240">
        <f t="shared" si="23"/>
        <v>704</v>
      </c>
    </row>
    <row r="241" spans="1:21">
      <c r="A241" s="5">
        <f t="shared" si="24"/>
        <v>46262</v>
      </c>
      <c r="B241">
        <f>SUMIFS('Demand Projection'!$D$2:$D$169,'Demand Projection'!$B$2:$B$169,B$1,'Demand Projection'!$C$2:$C$169,$A241)</f>
        <v>0</v>
      </c>
      <c r="C241">
        <f>SUMIFS('Demand Projection'!$D$2:$D$169,'Demand Projection'!$B$2:$B$169,C$1,'Demand Projection'!$C$2:$C$169,$A241)</f>
        <v>0</v>
      </c>
      <c r="D241">
        <f>SUMIFS('Demand Projection'!$D$2:$D$169,'Demand Projection'!$B$2:$B$169,D$1,'Demand Projection'!$C$2:$C$169,$A241)</f>
        <v>0</v>
      </c>
      <c r="E241">
        <f>SUMIFS('Demand Projection'!$D$2:$D$169,'Demand Projection'!$B$2:$B$169,E$1,'Demand Projection'!$C$2:$C$169,$A241)</f>
        <v>3038</v>
      </c>
      <c r="F241">
        <f>SUMIFS('Demand Projection'!$D$2:$D$169,'Demand Projection'!$B$2:$B$169,F$1,'Demand Projection'!$C$2:$C$169,$A241)</f>
        <v>2027</v>
      </c>
      <c r="G241" cm="1">
        <f t="array" ref="G241">Q240+IF(ROW()-3&lt;2,0,INDEX(L:L,ROW()-3))</f>
        <v>5106</v>
      </c>
      <c r="H241" cm="1">
        <f t="array" ref="H241">R240+IF(ROW()-3&lt;2,0,INDEX(M:M,ROW()-3))</f>
        <v>21810</v>
      </c>
      <c r="I241" cm="1">
        <f t="array" ref="I241">S240+IF(ROW()-3&lt;2,0,INDEX(N:N,ROW()-3))</f>
        <v>1351</v>
      </c>
      <c r="J241" cm="1">
        <f t="array" ref="J241">T240+IF(ROW()-3&lt;2,0,INDEX(O:O,ROW()-3))</f>
        <v>9866</v>
      </c>
      <c r="K241" cm="1">
        <f t="array" ref="K241">U240+IF(ROW()-3&lt;2,0,INDEX(P:P,ROW()-3))</f>
        <v>704</v>
      </c>
      <c r="L241">
        <f>IF(Q241&lt;_xlfn.XLOOKUP(L$1,Capacity!$D$3:$D$7,Capacity!$E$3:$E$7),_xlfn.XLOOKUP(L$1,Capacity!$D$3:$D$7,Capacity!$F$3:$F$7)-Q241,0)</f>
        <v>0</v>
      </c>
      <c r="M241">
        <f>IF(R241&lt;_xlfn.XLOOKUP(M$1,Capacity!$D$3:$D$7,Capacity!$E$3:$E$7),_xlfn.XLOOKUP(M$1,Capacity!$D$3:$D$7,Capacity!$F$3:$F$7)-R241,0)</f>
        <v>0</v>
      </c>
      <c r="N241">
        <f>IF(S241&lt;_xlfn.XLOOKUP(N$1,Capacity!$D$3:$D$7,Capacity!$E$3:$E$7),_xlfn.XLOOKUP(N$1,Capacity!$D$3:$D$7,Capacity!$F$3:$F$7)-S241,0)</f>
        <v>0</v>
      </c>
      <c r="O241">
        <f>IF(T241&lt;_xlfn.XLOOKUP(O$1,Capacity!$D$3:$D$7,Capacity!$E$3:$E$7),_xlfn.XLOOKUP(O$1,Capacity!$D$3:$D$7,Capacity!$F$3:$F$7)-T241,0)</f>
        <v>0</v>
      </c>
      <c r="P241">
        <f>IF(U241&lt;_xlfn.XLOOKUP(P$1,Capacity!$D$3:$D$7,Capacity!$E$3:$E$7),_xlfn.XLOOKUP(P$1,Capacity!$D$3:$D$7,Capacity!$F$3:$F$7)-U241,0)</f>
        <v>3506</v>
      </c>
      <c r="Q241">
        <f t="shared" si="19"/>
        <v>5106</v>
      </c>
      <c r="R241">
        <f t="shared" si="20"/>
        <v>21810</v>
      </c>
      <c r="S241">
        <f t="shared" si="21"/>
        <v>1351</v>
      </c>
      <c r="T241">
        <f t="shared" si="22"/>
        <v>6828</v>
      </c>
      <c r="U241">
        <f t="shared" si="23"/>
        <v>-1323</v>
      </c>
    </row>
    <row r="242" spans="1:21">
      <c r="A242" s="5">
        <f t="shared" si="24"/>
        <v>46263</v>
      </c>
      <c r="B242">
        <f>SUMIFS('Demand Projection'!$D$2:$D$169,'Demand Projection'!$B$2:$B$169,B$1,'Demand Projection'!$C$2:$C$169,$A242)</f>
        <v>0</v>
      </c>
      <c r="C242">
        <f>SUMIFS('Demand Projection'!$D$2:$D$169,'Demand Projection'!$B$2:$B$169,C$1,'Demand Projection'!$C$2:$C$169,$A242)</f>
        <v>0</v>
      </c>
      <c r="D242">
        <f>SUMIFS('Demand Projection'!$D$2:$D$169,'Demand Projection'!$B$2:$B$169,D$1,'Demand Projection'!$C$2:$C$169,$A242)</f>
        <v>0</v>
      </c>
      <c r="E242">
        <f>SUMIFS('Demand Projection'!$D$2:$D$169,'Demand Projection'!$B$2:$B$169,E$1,'Demand Projection'!$C$2:$C$169,$A242)</f>
        <v>0</v>
      </c>
      <c r="F242">
        <f>SUMIFS('Demand Projection'!$D$2:$D$169,'Demand Projection'!$B$2:$B$169,F$1,'Demand Projection'!$C$2:$C$169,$A242)</f>
        <v>0</v>
      </c>
      <c r="G242" cm="1">
        <f t="array" ref="G242">Q241+IF(ROW()-3&lt;2,0,INDEX(L:L,ROW()-3))</f>
        <v>5106</v>
      </c>
      <c r="H242" cm="1">
        <f t="array" ref="H242">R241+IF(ROW()-3&lt;2,0,INDEX(M:M,ROW()-3))</f>
        <v>21810</v>
      </c>
      <c r="I242" cm="1">
        <f t="array" ref="I242">S241+IF(ROW()-3&lt;2,0,INDEX(N:N,ROW()-3))</f>
        <v>1351</v>
      </c>
      <c r="J242" cm="1">
        <f t="array" ref="J242">T241+IF(ROW()-3&lt;2,0,INDEX(O:O,ROW()-3))</f>
        <v>6828</v>
      </c>
      <c r="K242" cm="1">
        <f t="array" ref="K242">U241+IF(ROW()-3&lt;2,0,INDEX(P:P,ROW()-3))</f>
        <v>-1323</v>
      </c>
      <c r="L242">
        <f>IF(Q242&lt;_xlfn.XLOOKUP(L$1,Capacity!$D$3:$D$7,Capacity!$E$3:$E$7),_xlfn.XLOOKUP(L$1,Capacity!$D$3:$D$7,Capacity!$F$3:$F$7)-Q242,0)</f>
        <v>0</v>
      </c>
      <c r="M242">
        <f>IF(R242&lt;_xlfn.XLOOKUP(M$1,Capacity!$D$3:$D$7,Capacity!$E$3:$E$7),_xlfn.XLOOKUP(M$1,Capacity!$D$3:$D$7,Capacity!$F$3:$F$7)-R242,0)</f>
        <v>0</v>
      </c>
      <c r="N242">
        <f>IF(S242&lt;_xlfn.XLOOKUP(N$1,Capacity!$D$3:$D$7,Capacity!$E$3:$E$7),_xlfn.XLOOKUP(N$1,Capacity!$D$3:$D$7,Capacity!$F$3:$F$7)-S242,0)</f>
        <v>0</v>
      </c>
      <c r="O242">
        <f>IF(T242&lt;_xlfn.XLOOKUP(O$1,Capacity!$D$3:$D$7,Capacity!$E$3:$E$7),_xlfn.XLOOKUP(O$1,Capacity!$D$3:$D$7,Capacity!$F$3:$F$7)-T242,0)</f>
        <v>0</v>
      </c>
      <c r="P242">
        <f>IF(U242&lt;_xlfn.XLOOKUP(P$1,Capacity!$D$3:$D$7,Capacity!$E$3:$E$7),_xlfn.XLOOKUP(P$1,Capacity!$D$3:$D$7,Capacity!$F$3:$F$7)-U242,0)</f>
        <v>3506</v>
      </c>
      <c r="Q242">
        <f t="shared" si="19"/>
        <v>5106</v>
      </c>
      <c r="R242">
        <f t="shared" si="20"/>
        <v>21810</v>
      </c>
      <c r="S242">
        <f t="shared" si="21"/>
        <v>1351</v>
      </c>
      <c r="T242">
        <f t="shared" si="22"/>
        <v>6828</v>
      </c>
      <c r="U242">
        <f t="shared" si="23"/>
        <v>-1323</v>
      </c>
    </row>
    <row r="243" spans="1:21">
      <c r="A243" s="5">
        <f t="shared" si="24"/>
        <v>46264</v>
      </c>
      <c r="B243">
        <f>SUMIFS('Demand Projection'!$D$2:$D$169,'Demand Projection'!$B$2:$B$169,B$1,'Demand Projection'!$C$2:$C$169,$A243)</f>
        <v>0</v>
      </c>
      <c r="C243">
        <f>SUMIFS('Demand Projection'!$D$2:$D$169,'Demand Projection'!$B$2:$B$169,C$1,'Demand Projection'!$C$2:$C$169,$A243)</f>
        <v>0</v>
      </c>
      <c r="D243">
        <f>SUMIFS('Demand Projection'!$D$2:$D$169,'Demand Projection'!$B$2:$B$169,D$1,'Demand Projection'!$C$2:$C$169,$A243)</f>
        <v>0</v>
      </c>
      <c r="E243">
        <f>SUMIFS('Demand Projection'!$D$2:$D$169,'Demand Projection'!$B$2:$B$169,E$1,'Demand Projection'!$C$2:$C$169,$A243)</f>
        <v>0</v>
      </c>
      <c r="F243">
        <f>SUMIFS('Demand Projection'!$D$2:$D$169,'Demand Projection'!$B$2:$B$169,F$1,'Demand Projection'!$C$2:$C$169,$A243)</f>
        <v>0</v>
      </c>
      <c r="G243" cm="1">
        <f t="array" ref="G243">Q242+IF(ROW()-3&lt;2,0,INDEX(L:L,ROW()-3))</f>
        <v>5106</v>
      </c>
      <c r="H243" cm="1">
        <f t="array" ref="H243">R242+IF(ROW()-3&lt;2,0,INDEX(M:M,ROW()-3))</f>
        <v>21810</v>
      </c>
      <c r="I243" cm="1">
        <f t="array" ref="I243">S242+IF(ROW()-3&lt;2,0,INDEX(N:N,ROW()-3))</f>
        <v>1351</v>
      </c>
      <c r="J243" cm="1">
        <f t="array" ref="J243">T242+IF(ROW()-3&lt;2,0,INDEX(O:O,ROW()-3))</f>
        <v>6828</v>
      </c>
      <c r="K243" cm="1">
        <f t="array" ref="K243">U242+IF(ROW()-3&lt;2,0,INDEX(P:P,ROW()-3))</f>
        <v>-1323</v>
      </c>
      <c r="L243">
        <f>IF(Q243&lt;_xlfn.XLOOKUP(L$1,Capacity!$D$3:$D$7,Capacity!$E$3:$E$7),_xlfn.XLOOKUP(L$1,Capacity!$D$3:$D$7,Capacity!$F$3:$F$7)-Q243,0)</f>
        <v>0</v>
      </c>
      <c r="M243">
        <f>IF(R243&lt;_xlfn.XLOOKUP(M$1,Capacity!$D$3:$D$7,Capacity!$E$3:$E$7),_xlfn.XLOOKUP(M$1,Capacity!$D$3:$D$7,Capacity!$F$3:$F$7)-R243,0)</f>
        <v>0</v>
      </c>
      <c r="N243">
        <f>IF(S243&lt;_xlfn.XLOOKUP(N$1,Capacity!$D$3:$D$7,Capacity!$E$3:$E$7),_xlfn.XLOOKUP(N$1,Capacity!$D$3:$D$7,Capacity!$F$3:$F$7)-S243,0)</f>
        <v>0</v>
      </c>
      <c r="O243">
        <f>IF(T243&lt;_xlfn.XLOOKUP(O$1,Capacity!$D$3:$D$7,Capacity!$E$3:$E$7),_xlfn.XLOOKUP(O$1,Capacity!$D$3:$D$7,Capacity!$F$3:$F$7)-T243,0)</f>
        <v>0</v>
      </c>
      <c r="P243">
        <f>IF(U243&lt;_xlfn.XLOOKUP(P$1,Capacity!$D$3:$D$7,Capacity!$E$3:$E$7),_xlfn.XLOOKUP(P$1,Capacity!$D$3:$D$7,Capacity!$F$3:$F$7)-U243,0)</f>
        <v>3506</v>
      </c>
      <c r="Q243">
        <f t="shared" si="19"/>
        <v>5106</v>
      </c>
      <c r="R243">
        <f t="shared" si="20"/>
        <v>21810</v>
      </c>
      <c r="S243">
        <f t="shared" si="21"/>
        <v>1351</v>
      </c>
      <c r="T243">
        <f t="shared" si="22"/>
        <v>6828</v>
      </c>
      <c r="U243">
        <f t="shared" si="23"/>
        <v>-1323</v>
      </c>
    </row>
    <row r="244" spans="1:21">
      <c r="A244" s="5">
        <f t="shared" si="24"/>
        <v>46265</v>
      </c>
      <c r="B244">
        <f>SUMIFS('Demand Projection'!$D$2:$D$169,'Demand Projection'!$B$2:$B$169,B$1,'Demand Projection'!$C$2:$C$169,$A244)</f>
        <v>0</v>
      </c>
      <c r="C244">
        <f>SUMIFS('Demand Projection'!$D$2:$D$169,'Demand Projection'!$B$2:$B$169,C$1,'Demand Projection'!$C$2:$C$169,$A244)</f>
        <v>0</v>
      </c>
      <c r="D244">
        <f>SUMIFS('Demand Projection'!$D$2:$D$169,'Demand Projection'!$B$2:$B$169,D$1,'Demand Projection'!$C$2:$C$169,$A244)</f>
        <v>0</v>
      </c>
      <c r="E244">
        <f>SUMIFS('Demand Projection'!$D$2:$D$169,'Demand Projection'!$B$2:$B$169,E$1,'Demand Projection'!$C$2:$C$169,$A244)</f>
        <v>0</v>
      </c>
      <c r="F244">
        <f>SUMIFS('Demand Projection'!$D$2:$D$169,'Demand Projection'!$B$2:$B$169,F$1,'Demand Projection'!$C$2:$C$169,$A244)</f>
        <v>0</v>
      </c>
      <c r="G244" cm="1">
        <f t="array" ref="G244">Q243+IF(ROW()-3&lt;2,0,INDEX(L:L,ROW()-3))</f>
        <v>5106</v>
      </c>
      <c r="H244" cm="1">
        <f t="array" ref="H244">R243+IF(ROW()-3&lt;2,0,INDEX(M:M,ROW()-3))</f>
        <v>21810</v>
      </c>
      <c r="I244" cm="1">
        <f t="array" ref="I244">S243+IF(ROW()-3&lt;2,0,INDEX(N:N,ROW()-3))</f>
        <v>1351</v>
      </c>
      <c r="J244" cm="1">
        <f t="array" ref="J244">T243+IF(ROW()-3&lt;2,0,INDEX(O:O,ROW()-3))</f>
        <v>6828</v>
      </c>
      <c r="K244" cm="1">
        <f t="array" ref="K244">U243+IF(ROW()-3&lt;2,0,INDEX(P:P,ROW()-3))</f>
        <v>2183</v>
      </c>
      <c r="L244">
        <f>IF(Q244&lt;_xlfn.XLOOKUP(L$1,Capacity!$D$3:$D$7,Capacity!$E$3:$E$7),_xlfn.XLOOKUP(L$1,Capacity!$D$3:$D$7,Capacity!$F$3:$F$7)-Q244,0)</f>
        <v>0</v>
      </c>
      <c r="M244">
        <f>IF(R244&lt;_xlfn.XLOOKUP(M$1,Capacity!$D$3:$D$7,Capacity!$E$3:$E$7),_xlfn.XLOOKUP(M$1,Capacity!$D$3:$D$7,Capacity!$F$3:$F$7)-R244,0)</f>
        <v>0</v>
      </c>
      <c r="N244">
        <f>IF(S244&lt;_xlfn.XLOOKUP(N$1,Capacity!$D$3:$D$7,Capacity!$E$3:$E$7),_xlfn.XLOOKUP(N$1,Capacity!$D$3:$D$7,Capacity!$F$3:$F$7)-S244,0)</f>
        <v>0</v>
      </c>
      <c r="O244">
        <f>IF(T244&lt;_xlfn.XLOOKUP(O$1,Capacity!$D$3:$D$7,Capacity!$E$3:$E$7),_xlfn.XLOOKUP(O$1,Capacity!$D$3:$D$7,Capacity!$F$3:$F$7)-T244,0)</f>
        <v>0</v>
      </c>
      <c r="P244">
        <f>IF(U244&lt;_xlfn.XLOOKUP(P$1,Capacity!$D$3:$D$7,Capacity!$E$3:$E$7),_xlfn.XLOOKUP(P$1,Capacity!$D$3:$D$7,Capacity!$F$3:$F$7)-U244,0)</f>
        <v>0</v>
      </c>
      <c r="Q244">
        <f t="shared" si="19"/>
        <v>5106</v>
      </c>
      <c r="R244">
        <f t="shared" si="20"/>
        <v>21810</v>
      </c>
      <c r="S244">
        <f t="shared" si="21"/>
        <v>1351</v>
      </c>
      <c r="T244">
        <f t="shared" si="22"/>
        <v>6828</v>
      </c>
      <c r="U244">
        <f t="shared" si="23"/>
        <v>2183</v>
      </c>
    </row>
    <row r="245" spans="1:21">
      <c r="A245" s="5">
        <f t="shared" si="24"/>
        <v>46266</v>
      </c>
      <c r="B245">
        <f>SUMIFS('Demand Projection'!$D$2:$D$169,'Demand Projection'!$B$2:$B$169,B$1,'Demand Projection'!$C$2:$C$169,$A245)</f>
        <v>0</v>
      </c>
      <c r="C245">
        <f>SUMIFS('Demand Projection'!$D$2:$D$169,'Demand Projection'!$B$2:$B$169,C$1,'Demand Projection'!$C$2:$C$169,$A245)</f>
        <v>0</v>
      </c>
      <c r="D245">
        <f>SUMIFS('Demand Projection'!$D$2:$D$169,'Demand Projection'!$B$2:$B$169,D$1,'Demand Projection'!$C$2:$C$169,$A245)</f>
        <v>0</v>
      </c>
      <c r="E245">
        <f>SUMIFS('Demand Projection'!$D$2:$D$169,'Demand Projection'!$B$2:$B$169,E$1,'Demand Projection'!$C$2:$C$169,$A245)</f>
        <v>0</v>
      </c>
      <c r="F245">
        <f>SUMIFS('Demand Projection'!$D$2:$D$169,'Demand Projection'!$B$2:$B$169,F$1,'Demand Projection'!$C$2:$C$169,$A245)</f>
        <v>0</v>
      </c>
      <c r="G245" cm="1">
        <f t="array" ref="G245">Q244+IF(ROW()-3&lt;2,0,INDEX(L:L,ROW()-3))</f>
        <v>5106</v>
      </c>
      <c r="H245" cm="1">
        <f t="array" ref="H245">R244+IF(ROW()-3&lt;2,0,INDEX(M:M,ROW()-3))</f>
        <v>21810</v>
      </c>
      <c r="I245" cm="1">
        <f t="array" ref="I245">S244+IF(ROW()-3&lt;2,0,INDEX(N:N,ROW()-3))</f>
        <v>1351</v>
      </c>
      <c r="J245" cm="1">
        <f t="array" ref="J245">T244+IF(ROW()-3&lt;2,0,INDEX(O:O,ROW()-3))</f>
        <v>6828</v>
      </c>
      <c r="K245" cm="1">
        <f t="array" ref="K245">U244+IF(ROW()-3&lt;2,0,INDEX(P:P,ROW()-3))</f>
        <v>5689</v>
      </c>
      <c r="L245">
        <f>IF(Q245&lt;_xlfn.XLOOKUP(L$1,Capacity!$D$3:$D$7,Capacity!$E$3:$E$7),_xlfn.XLOOKUP(L$1,Capacity!$D$3:$D$7,Capacity!$F$3:$F$7)-Q245,0)</f>
        <v>0</v>
      </c>
      <c r="M245">
        <f>IF(R245&lt;_xlfn.XLOOKUP(M$1,Capacity!$D$3:$D$7,Capacity!$E$3:$E$7),_xlfn.XLOOKUP(M$1,Capacity!$D$3:$D$7,Capacity!$F$3:$F$7)-R245,0)</f>
        <v>0</v>
      </c>
      <c r="N245">
        <f>IF(S245&lt;_xlfn.XLOOKUP(N$1,Capacity!$D$3:$D$7,Capacity!$E$3:$E$7),_xlfn.XLOOKUP(N$1,Capacity!$D$3:$D$7,Capacity!$F$3:$F$7)-S245,0)</f>
        <v>0</v>
      </c>
      <c r="O245">
        <f>IF(T245&lt;_xlfn.XLOOKUP(O$1,Capacity!$D$3:$D$7,Capacity!$E$3:$E$7),_xlfn.XLOOKUP(O$1,Capacity!$D$3:$D$7,Capacity!$F$3:$F$7)-T245,0)</f>
        <v>0</v>
      </c>
      <c r="P245">
        <f>IF(U245&lt;_xlfn.XLOOKUP(P$1,Capacity!$D$3:$D$7,Capacity!$E$3:$E$7),_xlfn.XLOOKUP(P$1,Capacity!$D$3:$D$7,Capacity!$F$3:$F$7)-U245,0)</f>
        <v>0</v>
      </c>
      <c r="Q245">
        <f t="shared" si="19"/>
        <v>5106</v>
      </c>
      <c r="R245">
        <f t="shared" si="20"/>
        <v>21810</v>
      </c>
      <c r="S245">
        <f t="shared" si="21"/>
        <v>1351</v>
      </c>
      <c r="T245">
        <f t="shared" si="22"/>
        <v>6828</v>
      </c>
      <c r="U245">
        <f t="shared" si="23"/>
        <v>5689</v>
      </c>
    </row>
    <row r="246" spans="1:21">
      <c r="A246" s="5">
        <f t="shared" si="24"/>
        <v>46267</v>
      </c>
      <c r="B246">
        <f>SUMIFS('Demand Projection'!$D$2:$D$169,'Demand Projection'!$B$2:$B$169,B$1,'Demand Projection'!$C$2:$C$169,$A246)</f>
        <v>0</v>
      </c>
      <c r="C246">
        <f>SUMIFS('Demand Projection'!$D$2:$D$169,'Demand Projection'!$B$2:$B$169,C$1,'Demand Projection'!$C$2:$C$169,$A246)</f>
        <v>0</v>
      </c>
      <c r="D246">
        <f>SUMIFS('Demand Projection'!$D$2:$D$169,'Demand Projection'!$B$2:$B$169,D$1,'Demand Projection'!$C$2:$C$169,$A246)</f>
        <v>0</v>
      </c>
      <c r="E246">
        <f>SUMIFS('Demand Projection'!$D$2:$D$169,'Demand Projection'!$B$2:$B$169,E$1,'Demand Projection'!$C$2:$C$169,$A246)</f>
        <v>0</v>
      </c>
      <c r="F246">
        <f>SUMIFS('Demand Projection'!$D$2:$D$169,'Demand Projection'!$B$2:$B$169,F$1,'Demand Projection'!$C$2:$C$169,$A246)</f>
        <v>0</v>
      </c>
      <c r="G246" cm="1">
        <f t="array" ref="G246">Q245+IF(ROW()-3&lt;2,0,INDEX(L:L,ROW()-3))</f>
        <v>5106</v>
      </c>
      <c r="H246" cm="1">
        <f t="array" ref="H246">R245+IF(ROW()-3&lt;2,0,INDEX(M:M,ROW()-3))</f>
        <v>21810</v>
      </c>
      <c r="I246" cm="1">
        <f t="array" ref="I246">S245+IF(ROW()-3&lt;2,0,INDEX(N:N,ROW()-3))</f>
        <v>1351</v>
      </c>
      <c r="J246" cm="1">
        <f t="array" ref="J246">T245+IF(ROW()-3&lt;2,0,INDEX(O:O,ROW()-3))</f>
        <v>6828</v>
      </c>
      <c r="K246" cm="1">
        <f t="array" ref="K246">U245+IF(ROW()-3&lt;2,0,INDEX(P:P,ROW()-3))</f>
        <v>9195</v>
      </c>
      <c r="L246">
        <f>IF(Q246&lt;_xlfn.XLOOKUP(L$1,Capacity!$D$3:$D$7,Capacity!$E$3:$E$7),_xlfn.XLOOKUP(L$1,Capacity!$D$3:$D$7,Capacity!$F$3:$F$7)-Q246,0)</f>
        <v>0</v>
      </c>
      <c r="M246">
        <f>IF(R246&lt;_xlfn.XLOOKUP(M$1,Capacity!$D$3:$D$7,Capacity!$E$3:$E$7),_xlfn.XLOOKUP(M$1,Capacity!$D$3:$D$7,Capacity!$F$3:$F$7)-R246,0)</f>
        <v>0</v>
      </c>
      <c r="N246">
        <f>IF(S246&lt;_xlfn.XLOOKUP(N$1,Capacity!$D$3:$D$7,Capacity!$E$3:$E$7),_xlfn.XLOOKUP(N$1,Capacity!$D$3:$D$7,Capacity!$F$3:$F$7)-S246,0)</f>
        <v>0</v>
      </c>
      <c r="O246">
        <f>IF(T246&lt;_xlfn.XLOOKUP(O$1,Capacity!$D$3:$D$7,Capacity!$E$3:$E$7),_xlfn.XLOOKUP(O$1,Capacity!$D$3:$D$7,Capacity!$F$3:$F$7)-T246,0)</f>
        <v>0</v>
      </c>
      <c r="P246">
        <f>IF(U246&lt;_xlfn.XLOOKUP(P$1,Capacity!$D$3:$D$7,Capacity!$E$3:$E$7),_xlfn.XLOOKUP(P$1,Capacity!$D$3:$D$7,Capacity!$F$3:$F$7)-U246,0)</f>
        <v>0</v>
      </c>
      <c r="Q246">
        <f t="shared" si="19"/>
        <v>5106</v>
      </c>
      <c r="R246">
        <f t="shared" si="20"/>
        <v>21810</v>
      </c>
      <c r="S246">
        <f t="shared" si="21"/>
        <v>1351</v>
      </c>
      <c r="T246">
        <f t="shared" si="22"/>
        <v>6828</v>
      </c>
      <c r="U246">
        <f t="shared" si="23"/>
        <v>9195</v>
      </c>
    </row>
    <row r="247" spans="1:21">
      <c r="A247" s="5">
        <f t="shared" si="24"/>
        <v>46268</v>
      </c>
      <c r="B247">
        <f>SUMIFS('Demand Projection'!$D$2:$D$169,'Demand Projection'!$B$2:$B$169,B$1,'Demand Projection'!$C$2:$C$169,$A247)</f>
        <v>793</v>
      </c>
      <c r="C247">
        <f>SUMIFS('Demand Projection'!$D$2:$D$169,'Demand Projection'!$B$2:$B$169,C$1,'Demand Projection'!$C$2:$C$169,$A247)</f>
        <v>4748</v>
      </c>
      <c r="D247">
        <f>SUMIFS('Demand Projection'!$D$2:$D$169,'Demand Projection'!$B$2:$B$169,D$1,'Demand Projection'!$C$2:$C$169,$A247)</f>
        <v>0</v>
      </c>
      <c r="E247">
        <f>SUMIFS('Demand Projection'!$D$2:$D$169,'Demand Projection'!$B$2:$B$169,E$1,'Demand Projection'!$C$2:$C$169,$A247)</f>
        <v>0</v>
      </c>
      <c r="F247">
        <f>SUMIFS('Demand Projection'!$D$2:$D$169,'Demand Projection'!$B$2:$B$169,F$1,'Demand Projection'!$C$2:$C$169,$A247)</f>
        <v>0</v>
      </c>
      <c r="G247" cm="1">
        <f t="array" ref="G247">Q246+IF(ROW()-3&lt;2,0,INDEX(L:L,ROW()-3))</f>
        <v>5106</v>
      </c>
      <c r="H247" cm="1">
        <f t="array" ref="H247">R246+IF(ROW()-3&lt;2,0,INDEX(M:M,ROW()-3))</f>
        <v>21810</v>
      </c>
      <c r="I247" cm="1">
        <f t="array" ref="I247">S246+IF(ROW()-3&lt;2,0,INDEX(N:N,ROW()-3))</f>
        <v>1351</v>
      </c>
      <c r="J247" cm="1">
        <f t="array" ref="J247">T246+IF(ROW()-3&lt;2,0,INDEX(O:O,ROW()-3))</f>
        <v>6828</v>
      </c>
      <c r="K247" cm="1">
        <f t="array" ref="K247">U246+IF(ROW()-3&lt;2,0,INDEX(P:P,ROW()-3))</f>
        <v>9195</v>
      </c>
      <c r="L247">
        <f>IF(Q247&lt;_xlfn.XLOOKUP(L$1,Capacity!$D$3:$D$7,Capacity!$E$3:$E$7),_xlfn.XLOOKUP(L$1,Capacity!$D$3:$D$7,Capacity!$F$3:$F$7)-Q247,0)</f>
        <v>0</v>
      </c>
      <c r="M247">
        <f>IF(R247&lt;_xlfn.XLOOKUP(M$1,Capacity!$D$3:$D$7,Capacity!$E$3:$E$7),_xlfn.XLOOKUP(M$1,Capacity!$D$3:$D$7,Capacity!$F$3:$F$7)-R247,0)</f>
        <v>0</v>
      </c>
      <c r="N247">
        <f>IF(S247&lt;_xlfn.XLOOKUP(N$1,Capacity!$D$3:$D$7,Capacity!$E$3:$E$7),_xlfn.XLOOKUP(N$1,Capacity!$D$3:$D$7,Capacity!$F$3:$F$7)-S247,0)</f>
        <v>0</v>
      </c>
      <c r="O247">
        <f>IF(T247&lt;_xlfn.XLOOKUP(O$1,Capacity!$D$3:$D$7,Capacity!$E$3:$E$7),_xlfn.XLOOKUP(O$1,Capacity!$D$3:$D$7,Capacity!$F$3:$F$7)-T247,0)</f>
        <v>0</v>
      </c>
      <c r="P247">
        <f>IF(U247&lt;_xlfn.XLOOKUP(P$1,Capacity!$D$3:$D$7,Capacity!$E$3:$E$7),_xlfn.XLOOKUP(P$1,Capacity!$D$3:$D$7,Capacity!$F$3:$F$7)-U247,0)</f>
        <v>0</v>
      </c>
      <c r="Q247">
        <f t="shared" si="19"/>
        <v>4313</v>
      </c>
      <c r="R247">
        <f t="shared" si="20"/>
        <v>17062</v>
      </c>
      <c r="S247">
        <f t="shared" si="21"/>
        <v>1351</v>
      </c>
      <c r="T247">
        <f t="shared" si="22"/>
        <v>6828</v>
      </c>
      <c r="U247">
        <f t="shared" si="23"/>
        <v>9195</v>
      </c>
    </row>
    <row r="248" spans="1:21">
      <c r="A248" s="5">
        <f t="shared" si="24"/>
        <v>46269</v>
      </c>
      <c r="B248">
        <f>SUMIFS('Demand Projection'!$D$2:$D$169,'Demand Projection'!$B$2:$B$169,B$1,'Demand Projection'!$C$2:$C$169,$A248)</f>
        <v>318</v>
      </c>
      <c r="C248">
        <f>SUMIFS('Demand Projection'!$D$2:$D$169,'Demand Projection'!$B$2:$B$169,C$1,'Demand Projection'!$C$2:$C$169,$A248)</f>
        <v>0</v>
      </c>
      <c r="D248">
        <f>SUMIFS('Demand Projection'!$D$2:$D$169,'Demand Projection'!$B$2:$B$169,D$1,'Demand Projection'!$C$2:$C$169,$A248)</f>
        <v>0</v>
      </c>
      <c r="E248">
        <f>SUMIFS('Demand Projection'!$D$2:$D$169,'Demand Projection'!$B$2:$B$169,E$1,'Demand Projection'!$C$2:$C$169,$A248)</f>
        <v>0</v>
      </c>
      <c r="F248">
        <f>SUMIFS('Demand Projection'!$D$2:$D$169,'Demand Projection'!$B$2:$B$169,F$1,'Demand Projection'!$C$2:$C$169,$A248)</f>
        <v>0</v>
      </c>
      <c r="G248" cm="1">
        <f t="array" ref="G248">Q247+IF(ROW()-3&lt;2,0,INDEX(L:L,ROW()-3))</f>
        <v>4313</v>
      </c>
      <c r="H248" cm="1">
        <f t="array" ref="H248">R247+IF(ROW()-3&lt;2,0,INDEX(M:M,ROW()-3))</f>
        <v>17062</v>
      </c>
      <c r="I248" cm="1">
        <f t="array" ref="I248">S247+IF(ROW()-3&lt;2,0,INDEX(N:N,ROW()-3))</f>
        <v>1351</v>
      </c>
      <c r="J248" cm="1">
        <f t="array" ref="J248">T247+IF(ROW()-3&lt;2,0,INDEX(O:O,ROW()-3))</f>
        <v>6828</v>
      </c>
      <c r="K248" cm="1">
        <f t="array" ref="K248">U247+IF(ROW()-3&lt;2,0,INDEX(P:P,ROW()-3))</f>
        <v>9195</v>
      </c>
      <c r="L248">
        <f>IF(Q248&lt;_xlfn.XLOOKUP(L$1,Capacity!$D$3:$D$7,Capacity!$E$3:$E$7),_xlfn.XLOOKUP(L$1,Capacity!$D$3:$D$7,Capacity!$F$3:$F$7)-Q248,0)</f>
        <v>0</v>
      </c>
      <c r="M248">
        <f>IF(R248&lt;_xlfn.XLOOKUP(M$1,Capacity!$D$3:$D$7,Capacity!$E$3:$E$7),_xlfn.XLOOKUP(M$1,Capacity!$D$3:$D$7,Capacity!$F$3:$F$7)-R248,0)</f>
        <v>0</v>
      </c>
      <c r="N248">
        <f>IF(S248&lt;_xlfn.XLOOKUP(N$1,Capacity!$D$3:$D$7,Capacity!$E$3:$E$7),_xlfn.XLOOKUP(N$1,Capacity!$D$3:$D$7,Capacity!$F$3:$F$7)-S248,0)</f>
        <v>0</v>
      </c>
      <c r="O248">
        <f>IF(T248&lt;_xlfn.XLOOKUP(O$1,Capacity!$D$3:$D$7,Capacity!$E$3:$E$7),_xlfn.XLOOKUP(O$1,Capacity!$D$3:$D$7,Capacity!$F$3:$F$7)-T248,0)</f>
        <v>0</v>
      </c>
      <c r="P248">
        <f>IF(U248&lt;_xlfn.XLOOKUP(P$1,Capacity!$D$3:$D$7,Capacity!$E$3:$E$7),_xlfn.XLOOKUP(P$1,Capacity!$D$3:$D$7,Capacity!$F$3:$F$7)-U248,0)</f>
        <v>0</v>
      </c>
      <c r="Q248">
        <f t="shared" si="19"/>
        <v>3995</v>
      </c>
      <c r="R248">
        <f t="shared" si="20"/>
        <v>17062</v>
      </c>
      <c r="S248">
        <f t="shared" si="21"/>
        <v>1351</v>
      </c>
      <c r="T248">
        <f t="shared" si="22"/>
        <v>6828</v>
      </c>
      <c r="U248">
        <f t="shared" si="23"/>
        <v>9195</v>
      </c>
    </row>
    <row r="249" spans="1:21">
      <c r="A249" s="5">
        <f t="shared" si="24"/>
        <v>46270</v>
      </c>
      <c r="B249">
        <f>SUMIFS('Demand Projection'!$D$2:$D$169,'Demand Projection'!$B$2:$B$169,B$1,'Demand Projection'!$C$2:$C$169,$A249)</f>
        <v>0</v>
      </c>
      <c r="C249">
        <f>SUMIFS('Demand Projection'!$D$2:$D$169,'Demand Projection'!$B$2:$B$169,C$1,'Demand Projection'!$C$2:$C$169,$A249)</f>
        <v>0</v>
      </c>
      <c r="D249">
        <f>SUMIFS('Demand Projection'!$D$2:$D$169,'Demand Projection'!$B$2:$B$169,D$1,'Demand Projection'!$C$2:$C$169,$A249)</f>
        <v>714</v>
      </c>
      <c r="E249">
        <f>SUMIFS('Demand Projection'!$D$2:$D$169,'Demand Projection'!$B$2:$B$169,E$1,'Demand Projection'!$C$2:$C$169,$A249)</f>
        <v>0</v>
      </c>
      <c r="F249">
        <f>SUMIFS('Demand Projection'!$D$2:$D$169,'Demand Projection'!$B$2:$B$169,F$1,'Demand Projection'!$C$2:$C$169,$A249)</f>
        <v>0</v>
      </c>
      <c r="G249" cm="1">
        <f t="array" ref="G249">Q248+IF(ROW()-3&lt;2,0,INDEX(L:L,ROW()-3))</f>
        <v>3995</v>
      </c>
      <c r="H249" cm="1">
        <f t="array" ref="H249">R248+IF(ROW()-3&lt;2,0,INDEX(M:M,ROW()-3))</f>
        <v>17062</v>
      </c>
      <c r="I249" cm="1">
        <f t="array" ref="I249">S248+IF(ROW()-3&lt;2,0,INDEX(N:N,ROW()-3))</f>
        <v>1351</v>
      </c>
      <c r="J249" cm="1">
        <f t="array" ref="J249">T248+IF(ROW()-3&lt;2,0,INDEX(O:O,ROW()-3))</f>
        <v>6828</v>
      </c>
      <c r="K249" cm="1">
        <f t="array" ref="K249">U248+IF(ROW()-3&lt;2,0,INDEX(P:P,ROW()-3))</f>
        <v>9195</v>
      </c>
      <c r="L249">
        <f>IF(Q249&lt;_xlfn.XLOOKUP(L$1,Capacity!$D$3:$D$7,Capacity!$E$3:$E$7),_xlfn.XLOOKUP(L$1,Capacity!$D$3:$D$7,Capacity!$F$3:$F$7)-Q249,0)</f>
        <v>0</v>
      </c>
      <c r="M249">
        <f>IF(R249&lt;_xlfn.XLOOKUP(M$1,Capacity!$D$3:$D$7,Capacity!$E$3:$E$7),_xlfn.XLOOKUP(M$1,Capacity!$D$3:$D$7,Capacity!$F$3:$F$7)-R249,0)</f>
        <v>0</v>
      </c>
      <c r="N249">
        <f>IF(S249&lt;_xlfn.XLOOKUP(N$1,Capacity!$D$3:$D$7,Capacity!$E$3:$E$7),_xlfn.XLOOKUP(N$1,Capacity!$D$3:$D$7,Capacity!$F$3:$F$7)-S249,0)</f>
        <v>0</v>
      </c>
      <c r="O249">
        <f>IF(T249&lt;_xlfn.XLOOKUP(O$1,Capacity!$D$3:$D$7,Capacity!$E$3:$E$7),_xlfn.XLOOKUP(O$1,Capacity!$D$3:$D$7,Capacity!$F$3:$F$7)-T249,0)</f>
        <v>0</v>
      </c>
      <c r="P249">
        <f>IF(U249&lt;_xlfn.XLOOKUP(P$1,Capacity!$D$3:$D$7,Capacity!$E$3:$E$7),_xlfn.XLOOKUP(P$1,Capacity!$D$3:$D$7,Capacity!$F$3:$F$7)-U249,0)</f>
        <v>0</v>
      </c>
      <c r="Q249">
        <f t="shared" si="19"/>
        <v>3995</v>
      </c>
      <c r="R249">
        <f t="shared" si="20"/>
        <v>17062</v>
      </c>
      <c r="S249">
        <f t="shared" si="21"/>
        <v>637</v>
      </c>
      <c r="T249">
        <f t="shared" si="22"/>
        <v>6828</v>
      </c>
      <c r="U249">
        <f t="shared" si="23"/>
        <v>9195</v>
      </c>
    </row>
    <row r="250" spans="1:21">
      <c r="A250" s="5">
        <f t="shared" si="24"/>
        <v>46271</v>
      </c>
      <c r="B250">
        <f>SUMIFS('Demand Projection'!$D$2:$D$169,'Demand Projection'!$B$2:$B$169,B$1,'Demand Projection'!$C$2:$C$169,$A250)</f>
        <v>0</v>
      </c>
      <c r="C250">
        <f>SUMIFS('Demand Projection'!$D$2:$D$169,'Demand Projection'!$B$2:$B$169,C$1,'Demand Projection'!$C$2:$C$169,$A250)</f>
        <v>0</v>
      </c>
      <c r="D250">
        <f>SUMIFS('Demand Projection'!$D$2:$D$169,'Demand Projection'!$B$2:$B$169,D$1,'Demand Projection'!$C$2:$C$169,$A250)</f>
        <v>0</v>
      </c>
      <c r="E250">
        <f>SUMIFS('Demand Projection'!$D$2:$D$169,'Demand Projection'!$B$2:$B$169,E$1,'Demand Projection'!$C$2:$C$169,$A250)</f>
        <v>477</v>
      </c>
      <c r="F250">
        <f>SUMIFS('Demand Projection'!$D$2:$D$169,'Demand Projection'!$B$2:$B$169,F$1,'Demand Projection'!$C$2:$C$169,$A250)</f>
        <v>0</v>
      </c>
      <c r="G250" cm="1">
        <f t="array" ref="G250">Q249+IF(ROW()-3&lt;2,0,INDEX(L:L,ROW()-3))</f>
        <v>3995</v>
      </c>
      <c r="H250" cm="1">
        <f t="array" ref="H250">R249+IF(ROW()-3&lt;2,0,INDEX(M:M,ROW()-3))</f>
        <v>17062</v>
      </c>
      <c r="I250" cm="1">
        <f t="array" ref="I250">S249+IF(ROW()-3&lt;2,0,INDEX(N:N,ROW()-3))</f>
        <v>637</v>
      </c>
      <c r="J250" cm="1">
        <f t="array" ref="J250">T249+IF(ROW()-3&lt;2,0,INDEX(O:O,ROW()-3))</f>
        <v>6828</v>
      </c>
      <c r="K250" cm="1">
        <f t="array" ref="K250">U249+IF(ROW()-3&lt;2,0,INDEX(P:P,ROW()-3))</f>
        <v>9195</v>
      </c>
      <c r="L250">
        <f>IF(Q250&lt;_xlfn.XLOOKUP(L$1,Capacity!$D$3:$D$7,Capacity!$E$3:$E$7),_xlfn.XLOOKUP(L$1,Capacity!$D$3:$D$7,Capacity!$F$3:$F$7)-Q250,0)</f>
        <v>0</v>
      </c>
      <c r="M250">
        <f>IF(R250&lt;_xlfn.XLOOKUP(M$1,Capacity!$D$3:$D$7,Capacity!$E$3:$E$7),_xlfn.XLOOKUP(M$1,Capacity!$D$3:$D$7,Capacity!$F$3:$F$7)-R250,0)</f>
        <v>0</v>
      </c>
      <c r="N250">
        <f>IF(S250&lt;_xlfn.XLOOKUP(N$1,Capacity!$D$3:$D$7,Capacity!$E$3:$E$7),_xlfn.XLOOKUP(N$1,Capacity!$D$3:$D$7,Capacity!$F$3:$F$7)-S250,0)</f>
        <v>0</v>
      </c>
      <c r="O250">
        <f>IF(T250&lt;_xlfn.XLOOKUP(O$1,Capacity!$D$3:$D$7,Capacity!$E$3:$E$7),_xlfn.XLOOKUP(O$1,Capacity!$D$3:$D$7,Capacity!$F$3:$F$7)-T250,0)</f>
        <v>0</v>
      </c>
      <c r="P250">
        <f>IF(U250&lt;_xlfn.XLOOKUP(P$1,Capacity!$D$3:$D$7,Capacity!$E$3:$E$7),_xlfn.XLOOKUP(P$1,Capacity!$D$3:$D$7,Capacity!$F$3:$F$7)-U250,0)</f>
        <v>0</v>
      </c>
      <c r="Q250">
        <f t="shared" si="19"/>
        <v>3995</v>
      </c>
      <c r="R250">
        <f t="shared" si="20"/>
        <v>17062</v>
      </c>
      <c r="S250">
        <f t="shared" si="21"/>
        <v>637</v>
      </c>
      <c r="T250">
        <f t="shared" si="22"/>
        <v>6351</v>
      </c>
      <c r="U250">
        <f t="shared" si="23"/>
        <v>9195</v>
      </c>
    </row>
    <row r="251" spans="1:21">
      <c r="A251" s="5">
        <f t="shared" si="24"/>
        <v>46272</v>
      </c>
      <c r="B251">
        <f>SUMIFS('Demand Projection'!$D$2:$D$169,'Demand Projection'!$B$2:$B$169,B$1,'Demand Projection'!$C$2:$C$169,$A251)</f>
        <v>793</v>
      </c>
      <c r="C251">
        <f>SUMIFS('Demand Projection'!$D$2:$D$169,'Demand Projection'!$B$2:$B$169,C$1,'Demand Projection'!$C$2:$C$169,$A251)</f>
        <v>0</v>
      </c>
      <c r="D251">
        <f>SUMIFS('Demand Projection'!$D$2:$D$169,'Demand Projection'!$B$2:$B$169,D$1,'Demand Projection'!$C$2:$C$169,$A251)</f>
        <v>0</v>
      </c>
      <c r="E251">
        <f>SUMIFS('Demand Projection'!$D$2:$D$169,'Demand Projection'!$B$2:$B$169,E$1,'Demand Projection'!$C$2:$C$169,$A251)</f>
        <v>0</v>
      </c>
      <c r="F251">
        <f>SUMIFS('Demand Projection'!$D$2:$D$169,'Demand Projection'!$B$2:$B$169,F$1,'Demand Projection'!$C$2:$C$169,$A251)</f>
        <v>0</v>
      </c>
      <c r="G251" cm="1">
        <f t="array" ref="G251">Q250+IF(ROW()-3&lt;2,0,INDEX(L:L,ROW()-3))</f>
        <v>3995</v>
      </c>
      <c r="H251" cm="1">
        <f t="array" ref="H251">R250+IF(ROW()-3&lt;2,0,INDEX(M:M,ROW()-3))</f>
        <v>17062</v>
      </c>
      <c r="I251" cm="1">
        <f t="array" ref="I251">S250+IF(ROW()-3&lt;2,0,INDEX(N:N,ROW()-3))</f>
        <v>637</v>
      </c>
      <c r="J251" cm="1">
        <f t="array" ref="J251">T250+IF(ROW()-3&lt;2,0,INDEX(O:O,ROW()-3))</f>
        <v>6351</v>
      </c>
      <c r="K251" cm="1">
        <f t="array" ref="K251">U250+IF(ROW()-3&lt;2,0,INDEX(P:P,ROW()-3))</f>
        <v>9195</v>
      </c>
      <c r="L251">
        <f>IF(Q251&lt;_xlfn.XLOOKUP(L$1,Capacity!$D$3:$D$7,Capacity!$E$3:$E$7),_xlfn.XLOOKUP(L$1,Capacity!$D$3:$D$7,Capacity!$F$3:$F$7)-Q251,0)</f>
        <v>0</v>
      </c>
      <c r="M251">
        <f>IF(R251&lt;_xlfn.XLOOKUP(M$1,Capacity!$D$3:$D$7,Capacity!$E$3:$E$7),_xlfn.XLOOKUP(M$1,Capacity!$D$3:$D$7,Capacity!$F$3:$F$7)-R251,0)</f>
        <v>0</v>
      </c>
      <c r="N251">
        <f>IF(S251&lt;_xlfn.XLOOKUP(N$1,Capacity!$D$3:$D$7,Capacity!$E$3:$E$7),_xlfn.XLOOKUP(N$1,Capacity!$D$3:$D$7,Capacity!$F$3:$F$7)-S251,0)</f>
        <v>0</v>
      </c>
      <c r="O251">
        <f>IF(T251&lt;_xlfn.XLOOKUP(O$1,Capacity!$D$3:$D$7,Capacity!$E$3:$E$7),_xlfn.XLOOKUP(O$1,Capacity!$D$3:$D$7,Capacity!$F$3:$F$7)-T251,0)</f>
        <v>0</v>
      </c>
      <c r="P251">
        <f>IF(U251&lt;_xlfn.XLOOKUP(P$1,Capacity!$D$3:$D$7,Capacity!$E$3:$E$7),_xlfn.XLOOKUP(P$1,Capacity!$D$3:$D$7,Capacity!$F$3:$F$7)-U251,0)</f>
        <v>0</v>
      </c>
      <c r="Q251">
        <f t="shared" si="19"/>
        <v>3202</v>
      </c>
      <c r="R251">
        <f t="shared" si="20"/>
        <v>17062</v>
      </c>
      <c r="S251">
        <f t="shared" si="21"/>
        <v>637</v>
      </c>
      <c r="T251">
        <f t="shared" si="22"/>
        <v>6351</v>
      </c>
      <c r="U251">
        <f t="shared" si="23"/>
        <v>9195</v>
      </c>
    </row>
    <row r="252" spans="1:21">
      <c r="A252" s="5">
        <f t="shared" si="24"/>
        <v>46273</v>
      </c>
      <c r="B252">
        <f>SUMIFS('Demand Projection'!$D$2:$D$169,'Demand Projection'!$B$2:$B$169,B$1,'Demand Projection'!$C$2:$C$169,$A252)</f>
        <v>0</v>
      </c>
      <c r="C252">
        <f>SUMIFS('Demand Projection'!$D$2:$D$169,'Demand Projection'!$B$2:$B$169,C$1,'Demand Projection'!$C$2:$C$169,$A252)</f>
        <v>0</v>
      </c>
      <c r="D252">
        <f>SUMIFS('Demand Projection'!$D$2:$D$169,'Demand Projection'!$B$2:$B$169,D$1,'Demand Projection'!$C$2:$C$169,$A252)</f>
        <v>0</v>
      </c>
      <c r="E252">
        <f>SUMIFS('Demand Projection'!$D$2:$D$169,'Demand Projection'!$B$2:$B$169,E$1,'Demand Projection'!$C$2:$C$169,$A252)</f>
        <v>0</v>
      </c>
      <c r="F252">
        <f>SUMIFS('Demand Projection'!$D$2:$D$169,'Demand Projection'!$B$2:$B$169,F$1,'Demand Projection'!$C$2:$C$169,$A252)</f>
        <v>0</v>
      </c>
      <c r="G252" cm="1">
        <f t="array" ref="G252">Q251+IF(ROW()-3&lt;2,0,INDEX(L:L,ROW()-3))</f>
        <v>3202</v>
      </c>
      <c r="H252" cm="1">
        <f t="array" ref="H252">R251+IF(ROW()-3&lt;2,0,INDEX(M:M,ROW()-3))</f>
        <v>17062</v>
      </c>
      <c r="I252" cm="1">
        <f t="array" ref="I252">S251+IF(ROW()-3&lt;2,0,INDEX(N:N,ROW()-3))</f>
        <v>637</v>
      </c>
      <c r="J252" cm="1">
        <f t="array" ref="J252">T251+IF(ROW()-3&lt;2,0,INDEX(O:O,ROW()-3))</f>
        <v>6351</v>
      </c>
      <c r="K252" cm="1">
        <f t="array" ref="K252">U251+IF(ROW()-3&lt;2,0,INDEX(P:P,ROW()-3))</f>
        <v>9195</v>
      </c>
      <c r="L252">
        <f>IF(Q252&lt;_xlfn.XLOOKUP(L$1,Capacity!$D$3:$D$7,Capacity!$E$3:$E$7),_xlfn.XLOOKUP(L$1,Capacity!$D$3:$D$7,Capacity!$F$3:$F$7)-Q252,0)</f>
        <v>0</v>
      </c>
      <c r="M252">
        <f>IF(R252&lt;_xlfn.XLOOKUP(M$1,Capacity!$D$3:$D$7,Capacity!$E$3:$E$7),_xlfn.XLOOKUP(M$1,Capacity!$D$3:$D$7,Capacity!$F$3:$F$7)-R252,0)</f>
        <v>0</v>
      </c>
      <c r="N252">
        <f>IF(S252&lt;_xlfn.XLOOKUP(N$1,Capacity!$D$3:$D$7,Capacity!$E$3:$E$7),_xlfn.XLOOKUP(N$1,Capacity!$D$3:$D$7,Capacity!$F$3:$F$7)-S252,0)</f>
        <v>0</v>
      </c>
      <c r="O252">
        <f>IF(T252&lt;_xlfn.XLOOKUP(O$1,Capacity!$D$3:$D$7,Capacity!$E$3:$E$7),_xlfn.XLOOKUP(O$1,Capacity!$D$3:$D$7,Capacity!$F$3:$F$7)-T252,0)</f>
        <v>0</v>
      </c>
      <c r="P252">
        <f>IF(U252&lt;_xlfn.XLOOKUP(P$1,Capacity!$D$3:$D$7,Capacity!$E$3:$E$7),_xlfn.XLOOKUP(P$1,Capacity!$D$3:$D$7,Capacity!$F$3:$F$7)-U252,0)</f>
        <v>0</v>
      </c>
      <c r="Q252">
        <f t="shared" si="19"/>
        <v>3202</v>
      </c>
      <c r="R252">
        <f t="shared" si="20"/>
        <v>17062</v>
      </c>
      <c r="S252">
        <f t="shared" si="21"/>
        <v>637</v>
      </c>
      <c r="T252">
        <f t="shared" si="22"/>
        <v>6351</v>
      </c>
      <c r="U252">
        <f t="shared" si="23"/>
        <v>9195</v>
      </c>
    </row>
    <row r="253" spans="1:21">
      <c r="A253" s="5">
        <f t="shared" si="24"/>
        <v>46274</v>
      </c>
      <c r="B253">
        <f>SUMIFS('Demand Projection'!$D$2:$D$169,'Demand Projection'!$B$2:$B$169,B$1,'Demand Projection'!$C$2:$C$169,$A253)</f>
        <v>0</v>
      </c>
      <c r="C253">
        <f>SUMIFS('Demand Projection'!$D$2:$D$169,'Demand Projection'!$B$2:$B$169,C$1,'Demand Projection'!$C$2:$C$169,$A253)</f>
        <v>0</v>
      </c>
      <c r="D253">
        <f>SUMIFS('Demand Projection'!$D$2:$D$169,'Demand Projection'!$B$2:$B$169,D$1,'Demand Projection'!$C$2:$C$169,$A253)</f>
        <v>397</v>
      </c>
      <c r="E253">
        <f>SUMIFS('Demand Projection'!$D$2:$D$169,'Demand Projection'!$B$2:$B$169,E$1,'Demand Projection'!$C$2:$C$169,$A253)</f>
        <v>0</v>
      </c>
      <c r="F253">
        <f>SUMIFS('Demand Projection'!$D$2:$D$169,'Demand Projection'!$B$2:$B$169,F$1,'Demand Projection'!$C$2:$C$169,$A253)</f>
        <v>0</v>
      </c>
      <c r="G253" cm="1">
        <f t="array" ref="G253">Q252+IF(ROW()-3&lt;2,0,INDEX(L:L,ROW()-3))</f>
        <v>3202</v>
      </c>
      <c r="H253" cm="1">
        <f t="array" ref="H253">R252+IF(ROW()-3&lt;2,0,INDEX(M:M,ROW()-3))</f>
        <v>17062</v>
      </c>
      <c r="I253" cm="1">
        <f t="array" ref="I253">S252+IF(ROW()-3&lt;2,0,INDEX(N:N,ROW()-3))</f>
        <v>637</v>
      </c>
      <c r="J253" cm="1">
        <f t="array" ref="J253">T252+IF(ROW()-3&lt;2,0,INDEX(O:O,ROW()-3))</f>
        <v>6351</v>
      </c>
      <c r="K253" cm="1">
        <f t="array" ref="K253">U252+IF(ROW()-3&lt;2,0,INDEX(P:P,ROW()-3))</f>
        <v>9195</v>
      </c>
      <c r="L253">
        <f>IF(Q253&lt;_xlfn.XLOOKUP(L$1,Capacity!$D$3:$D$7,Capacity!$E$3:$E$7),_xlfn.XLOOKUP(L$1,Capacity!$D$3:$D$7,Capacity!$F$3:$F$7)-Q253,0)</f>
        <v>0</v>
      </c>
      <c r="M253">
        <f>IF(R253&lt;_xlfn.XLOOKUP(M$1,Capacity!$D$3:$D$7,Capacity!$E$3:$E$7),_xlfn.XLOOKUP(M$1,Capacity!$D$3:$D$7,Capacity!$F$3:$F$7)-R253,0)</f>
        <v>0</v>
      </c>
      <c r="N253">
        <f>IF(S253&lt;_xlfn.XLOOKUP(N$1,Capacity!$D$3:$D$7,Capacity!$E$3:$E$7),_xlfn.XLOOKUP(N$1,Capacity!$D$3:$D$7,Capacity!$F$3:$F$7)-S253,0)</f>
        <v>1297</v>
      </c>
      <c r="O253">
        <f>IF(T253&lt;_xlfn.XLOOKUP(O$1,Capacity!$D$3:$D$7,Capacity!$E$3:$E$7),_xlfn.XLOOKUP(O$1,Capacity!$D$3:$D$7,Capacity!$F$3:$F$7)-T253,0)</f>
        <v>0</v>
      </c>
      <c r="P253">
        <f>IF(U253&lt;_xlfn.XLOOKUP(P$1,Capacity!$D$3:$D$7,Capacity!$E$3:$E$7),_xlfn.XLOOKUP(P$1,Capacity!$D$3:$D$7,Capacity!$F$3:$F$7)-U253,0)</f>
        <v>0</v>
      </c>
      <c r="Q253">
        <f t="shared" si="19"/>
        <v>3202</v>
      </c>
      <c r="R253">
        <f t="shared" si="20"/>
        <v>17062</v>
      </c>
      <c r="S253">
        <f t="shared" si="21"/>
        <v>240</v>
      </c>
      <c r="T253">
        <f t="shared" si="22"/>
        <v>6351</v>
      </c>
      <c r="U253">
        <f t="shared" si="23"/>
        <v>9195</v>
      </c>
    </row>
    <row r="254" spans="1:21">
      <c r="A254" s="5">
        <f t="shared" si="24"/>
        <v>46275</v>
      </c>
      <c r="B254">
        <f>SUMIFS('Demand Projection'!$D$2:$D$169,'Demand Projection'!$B$2:$B$169,B$1,'Demand Projection'!$C$2:$C$169,$A254)</f>
        <v>0</v>
      </c>
      <c r="C254">
        <f>SUMIFS('Demand Projection'!$D$2:$D$169,'Demand Projection'!$B$2:$B$169,C$1,'Demand Projection'!$C$2:$C$169,$A254)</f>
        <v>0</v>
      </c>
      <c r="D254">
        <f>SUMIFS('Demand Projection'!$D$2:$D$169,'Demand Projection'!$B$2:$B$169,D$1,'Demand Projection'!$C$2:$C$169,$A254)</f>
        <v>0</v>
      </c>
      <c r="E254">
        <f>SUMIFS('Demand Projection'!$D$2:$D$169,'Demand Projection'!$B$2:$B$169,E$1,'Demand Projection'!$C$2:$C$169,$A254)</f>
        <v>0</v>
      </c>
      <c r="F254">
        <f>SUMIFS('Demand Projection'!$D$2:$D$169,'Demand Projection'!$B$2:$B$169,F$1,'Demand Projection'!$C$2:$C$169,$A254)</f>
        <v>0</v>
      </c>
      <c r="G254" cm="1">
        <f t="array" ref="G254">Q253+IF(ROW()-3&lt;2,0,INDEX(L:L,ROW()-3))</f>
        <v>3202</v>
      </c>
      <c r="H254" cm="1">
        <f t="array" ref="H254">R253+IF(ROW()-3&lt;2,0,INDEX(M:M,ROW()-3))</f>
        <v>17062</v>
      </c>
      <c r="I254" cm="1">
        <f t="array" ref="I254">S253+IF(ROW()-3&lt;2,0,INDEX(N:N,ROW()-3))</f>
        <v>240</v>
      </c>
      <c r="J254" cm="1">
        <f t="array" ref="J254">T253+IF(ROW()-3&lt;2,0,INDEX(O:O,ROW()-3))</f>
        <v>6351</v>
      </c>
      <c r="K254" cm="1">
        <f t="array" ref="K254">U253+IF(ROW()-3&lt;2,0,INDEX(P:P,ROW()-3))</f>
        <v>9195</v>
      </c>
      <c r="L254">
        <f>IF(Q254&lt;_xlfn.XLOOKUP(L$1,Capacity!$D$3:$D$7,Capacity!$E$3:$E$7),_xlfn.XLOOKUP(L$1,Capacity!$D$3:$D$7,Capacity!$F$3:$F$7)-Q254,0)</f>
        <v>0</v>
      </c>
      <c r="M254">
        <f>IF(R254&lt;_xlfn.XLOOKUP(M$1,Capacity!$D$3:$D$7,Capacity!$E$3:$E$7),_xlfn.XLOOKUP(M$1,Capacity!$D$3:$D$7,Capacity!$F$3:$F$7)-R254,0)</f>
        <v>0</v>
      </c>
      <c r="N254">
        <f>IF(S254&lt;_xlfn.XLOOKUP(N$1,Capacity!$D$3:$D$7,Capacity!$E$3:$E$7),_xlfn.XLOOKUP(N$1,Capacity!$D$3:$D$7,Capacity!$F$3:$F$7)-S254,0)</f>
        <v>1297</v>
      </c>
      <c r="O254">
        <f>IF(T254&lt;_xlfn.XLOOKUP(O$1,Capacity!$D$3:$D$7,Capacity!$E$3:$E$7),_xlfn.XLOOKUP(O$1,Capacity!$D$3:$D$7,Capacity!$F$3:$F$7)-T254,0)</f>
        <v>0</v>
      </c>
      <c r="P254">
        <f>IF(U254&lt;_xlfn.XLOOKUP(P$1,Capacity!$D$3:$D$7,Capacity!$E$3:$E$7),_xlfn.XLOOKUP(P$1,Capacity!$D$3:$D$7,Capacity!$F$3:$F$7)-U254,0)</f>
        <v>0</v>
      </c>
      <c r="Q254">
        <f t="shared" si="19"/>
        <v>3202</v>
      </c>
      <c r="R254">
        <f t="shared" si="20"/>
        <v>17062</v>
      </c>
      <c r="S254">
        <f t="shared" si="21"/>
        <v>240</v>
      </c>
      <c r="T254">
        <f t="shared" si="22"/>
        <v>6351</v>
      </c>
      <c r="U254">
        <f t="shared" si="23"/>
        <v>9195</v>
      </c>
    </row>
    <row r="255" spans="1:21">
      <c r="A255" s="5">
        <f t="shared" si="24"/>
        <v>46276</v>
      </c>
      <c r="B255">
        <f>SUMIFS('Demand Projection'!$D$2:$D$169,'Demand Projection'!$B$2:$B$169,B$1,'Demand Projection'!$C$2:$C$169,$A255)</f>
        <v>0</v>
      </c>
      <c r="C255">
        <f>SUMIFS('Demand Projection'!$D$2:$D$169,'Demand Projection'!$B$2:$B$169,C$1,'Demand Projection'!$C$2:$C$169,$A255)</f>
        <v>0</v>
      </c>
      <c r="D255">
        <f>SUMIFS('Demand Projection'!$D$2:$D$169,'Demand Projection'!$B$2:$B$169,D$1,'Demand Projection'!$C$2:$C$169,$A255)</f>
        <v>0</v>
      </c>
      <c r="E255">
        <f>SUMIFS('Demand Projection'!$D$2:$D$169,'Demand Projection'!$B$2:$B$169,E$1,'Demand Projection'!$C$2:$C$169,$A255)</f>
        <v>0</v>
      </c>
      <c r="F255">
        <f>SUMIFS('Demand Projection'!$D$2:$D$169,'Demand Projection'!$B$2:$B$169,F$1,'Demand Projection'!$C$2:$C$169,$A255)</f>
        <v>0</v>
      </c>
      <c r="G255" cm="1">
        <f t="array" ref="G255">Q254+IF(ROW()-3&lt;2,0,INDEX(L:L,ROW()-3))</f>
        <v>3202</v>
      </c>
      <c r="H255" cm="1">
        <f t="array" ref="H255">R254+IF(ROW()-3&lt;2,0,INDEX(M:M,ROW()-3))</f>
        <v>17062</v>
      </c>
      <c r="I255" cm="1">
        <f t="array" ref="I255">S254+IF(ROW()-3&lt;2,0,INDEX(N:N,ROW()-3))</f>
        <v>240</v>
      </c>
      <c r="J255" cm="1">
        <f t="array" ref="J255">T254+IF(ROW()-3&lt;2,0,INDEX(O:O,ROW()-3))</f>
        <v>6351</v>
      </c>
      <c r="K255" cm="1">
        <f t="array" ref="K255">U254+IF(ROW()-3&lt;2,0,INDEX(P:P,ROW()-3))</f>
        <v>9195</v>
      </c>
      <c r="L255">
        <f>IF(Q255&lt;_xlfn.XLOOKUP(L$1,Capacity!$D$3:$D$7,Capacity!$E$3:$E$7),_xlfn.XLOOKUP(L$1,Capacity!$D$3:$D$7,Capacity!$F$3:$F$7)-Q255,0)</f>
        <v>0</v>
      </c>
      <c r="M255">
        <f>IF(R255&lt;_xlfn.XLOOKUP(M$1,Capacity!$D$3:$D$7,Capacity!$E$3:$E$7),_xlfn.XLOOKUP(M$1,Capacity!$D$3:$D$7,Capacity!$F$3:$F$7)-R255,0)</f>
        <v>0</v>
      </c>
      <c r="N255">
        <f>IF(S255&lt;_xlfn.XLOOKUP(N$1,Capacity!$D$3:$D$7,Capacity!$E$3:$E$7),_xlfn.XLOOKUP(N$1,Capacity!$D$3:$D$7,Capacity!$F$3:$F$7)-S255,0)</f>
        <v>1297</v>
      </c>
      <c r="O255">
        <f>IF(T255&lt;_xlfn.XLOOKUP(O$1,Capacity!$D$3:$D$7,Capacity!$E$3:$E$7),_xlfn.XLOOKUP(O$1,Capacity!$D$3:$D$7,Capacity!$F$3:$F$7)-T255,0)</f>
        <v>0</v>
      </c>
      <c r="P255">
        <f>IF(U255&lt;_xlfn.XLOOKUP(P$1,Capacity!$D$3:$D$7,Capacity!$E$3:$E$7),_xlfn.XLOOKUP(P$1,Capacity!$D$3:$D$7,Capacity!$F$3:$F$7)-U255,0)</f>
        <v>0</v>
      </c>
      <c r="Q255">
        <f t="shared" si="19"/>
        <v>3202</v>
      </c>
      <c r="R255">
        <f t="shared" si="20"/>
        <v>17062</v>
      </c>
      <c r="S255">
        <f t="shared" si="21"/>
        <v>240</v>
      </c>
      <c r="T255">
        <f t="shared" si="22"/>
        <v>6351</v>
      </c>
      <c r="U255">
        <f t="shared" si="23"/>
        <v>9195</v>
      </c>
    </row>
    <row r="256" spans="1:21">
      <c r="A256" s="5">
        <f t="shared" si="24"/>
        <v>46277</v>
      </c>
      <c r="B256">
        <f>SUMIFS('Demand Projection'!$D$2:$D$169,'Demand Projection'!$B$2:$B$169,B$1,'Demand Projection'!$C$2:$C$169,$A256)</f>
        <v>0</v>
      </c>
      <c r="C256">
        <f>SUMIFS('Demand Projection'!$D$2:$D$169,'Demand Projection'!$B$2:$B$169,C$1,'Demand Projection'!$C$2:$C$169,$A256)</f>
        <v>0</v>
      </c>
      <c r="D256">
        <f>SUMIFS('Demand Projection'!$D$2:$D$169,'Demand Projection'!$B$2:$B$169,D$1,'Demand Projection'!$C$2:$C$169,$A256)</f>
        <v>0</v>
      </c>
      <c r="E256">
        <f>SUMIFS('Demand Projection'!$D$2:$D$169,'Demand Projection'!$B$2:$B$169,E$1,'Demand Projection'!$C$2:$C$169,$A256)</f>
        <v>0</v>
      </c>
      <c r="F256">
        <f>SUMIFS('Demand Projection'!$D$2:$D$169,'Demand Projection'!$B$2:$B$169,F$1,'Demand Projection'!$C$2:$C$169,$A256)</f>
        <v>263</v>
      </c>
      <c r="G256" cm="1">
        <f t="array" ref="G256">Q255+IF(ROW()-3&lt;2,0,INDEX(L:L,ROW()-3))</f>
        <v>3202</v>
      </c>
      <c r="H256" cm="1">
        <f t="array" ref="H256">R255+IF(ROW()-3&lt;2,0,INDEX(M:M,ROW()-3))</f>
        <v>17062</v>
      </c>
      <c r="I256" cm="1">
        <f t="array" ref="I256">S255+IF(ROW()-3&lt;2,0,INDEX(N:N,ROW()-3))</f>
        <v>1537</v>
      </c>
      <c r="J256" cm="1">
        <f t="array" ref="J256">T255+IF(ROW()-3&lt;2,0,INDEX(O:O,ROW()-3))</f>
        <v>6351</v>
      </c>
      <c r="K256" cm="1">
        <f t="array" ref="K256">U255+IF(ROW()-3&lt;2,0,INDEX(P:P,ROW()-3))</f>
        <v>9195</v>
      </c>
      <c r="L256">
        <f>IF(Q256&lt;_xlfn.XLOOKUP(L$1,Capacity!$D$3:$D$7,Capacity!$E$3:$E$7),_xlfn.XLOOKUP(L$1,Capacity!$D$3:$D$7,Capacity!$F$3:$F$7)-Q256,0)</f>
        <v>0</v>
      </c>
      <c r="M256">
        <f>IF(R256&lt;_xlfn.XLOOKUP(M$1,Capacity!$D$3:$D$7,Capacity!$E$3:$E$7),_xlfn.XLOOKUP(M$1,Capacity!$D$3:$D$7,Capacity!$F$3:$F$7)-R256,0)</f>
        <v>0</v>
      </c>
      <c r="N256">
        <f>IF(S256&lt;_xlfn.XLOOKUP(N$1,Capacity!$D$3:$D$7,Capacity!$E$3:$E$7),_xlfn.XLOOKUP(N$1,Capacity!$D$3:$D$7,Capacity!$F$3:$F$7)-S256,0)</f>
        <v>0</v>
      </c>
      <c r="O256">
        <f>IF(T256&lt;_xlfn.XLOOKUP(O$1,Capacity!$D$3:$D$7,Capacity!$E$3:$E$7),_xlfn.XLOOKUP(O$1,Capacity!$D$3:$D$7,Capacity!$F$3:$F$7)-T256,0)</f>
        <v>0</v>
      </c>
      <c r="P256">
        <f>IF(U256&lt;_xlfn.XLOOKUP(P$1,Capacity!$D$3:$D$7,Capacity!$E$3:$E$7),_xlfn.XLOOKUP(P$1,Capacity!$D$3:$D$7,Capacity!$F$3:$F$7)-U256,0)</f>
        <v>0</v>
      </c>
      <c r="Q256">
        <f t="shared" si="19"/>
        <v>3202</v>
      </c>
      <c r="R256">
        <f t="shared" si="20"/>
        <v>17062</v>
      </c>
      <c r="S256">
        <f t="shared" si="21"/>
        <v>1537</v>
      </c>
      <c r="T256">
        <f t="shared" si="22"/>
        <v>6351</v>
      </c>
      <c r="U256">
        <f t="shared" si="23"/>
        <v>8932</v>
      </c>
    </row>
    <row r="257" spans="1:21">
      <c r="A257" s="5">
        <f t="shared" si="24"/>
        <v>46278</v>
      </c>
      <c r="B257">
        <f>SUMIFS('Demand Projection'!$D$2:$D$169,'Demand Projection'!$B$2:$B$169,B$1,'Demand Projection'!$C$2:$C$169,$A257)</f>
        <v>0</v>
      </c>
      <c r="C257">
        <f>SUMIFS('Demand Projection'!$D$2:$D$169,'Demand Projection'!$B$2:$B$169,C$1,'Demand Projection'!$C$2:$C$169,$A257)</f>
        <v>395</v>
      </c>
      <c r="D257">
        <f>SUMIFS('Demand Projection'!$D$2:$D$169,'Demand Projection'!$B$2:$B$169,D$1,'Demand Projection'!$C$2:$C$169,$A257)</f>
        <v>0</v>
      </c>
      <c r="E257">
        <f>SUMIFS('Demand Projection'!$D$2:$D$169,'Demand Projection'!$B$2:$B$169,E$1,'Demand Projection'!$C$2:$C$169,$A257)</f>
        <v>0</v>
      </c>
      <c r="F257">
        <f>SUMIFS('Demand Projection'!$D$2:$D$169,'Demand Projection'!$B$2:$B$169,F$1,'Demand Projection'!$C$2:$C$169,$A257)</f>
        <v>0</v>
      </c>
      <c r="G257" cm="1">
        <f t="array" ref="G257">Q256+IF(ROW()-3&lt;2,0,INDEX(L:L,ROW()-3))</f>
        <v>3202</v>
      </c>
      <c r="H257" cm="1">
        <f t="array" ref="H257">R256+IF(ROW()-3&lt;2,0,INDEX(M:M,ROW()-3))</f>
        <v>17062</v>
      </c>
      <c r="I257" cm="1">
        <f t="array" ref="I257">S256+IF(ROW()-3&lt;2,0,INDEX(N:N,ROW()-3))</f>
        <v>2834</v>
      </c>
      <c r="J257" cm="1">
        <f t="array" ref="J257">T256+IF(ROW()-3&lt;2,0,INDEX(O:O,ROW()-3))</f>
        <v>6351</v>
      </c>
      <c r="K257" cm="1">
        <f t="array" ref="K257">U256+IF(ROW()-3&lt;2,0,INDEX(P:P,ROW()-3))</f>
        <v>8932</v>
      </c>
      <c r="L257">
        <f>IF(Q257&lt;_xlfn.XLOOKUP(L$1,Capacity!$D$3:$D$7,Capacity!$E$3:$E$7),_xlfn.XLOOKUP(L$1,Capacity!$D$3:$D$7,Capacity!$F$3:$F$7)-Q257,0)</f>
        <v>0</v>
      </c>
      <c r="M257">
        <f>IF(R257&lt;_xlfn.XLOOKUP(M$1,Capacity!$D$3:$D$7,Capacity!$E$3:$E$7),_xlfn.XLOOKUP(M$1,Capacity!$D$3:$D$7,Capacity!$F$3:$F$7)-R257,0)</f>
        <v>0</v>
      </c>
      <c r="N257">
        <f>IF(S257&lt;_xlfn.XLOOKUP(N$1,Capacity!$D$3:$D$7,Capacity!$E$3:$E$7),_xlfn.XLOOKUP(N$1,Capacity!$D$3:$D$7,Capacity!$F$3:$F$7)-S257,0)</f>
        <v>0</v>
      </c>
      <c r="O257">
        <f>IF(T257&lt;_xlfn.XLOOKUP(O$1,Capacity!$D$3:$D$7,Capacity!$E$3:$E$7),_xlfn.XLOOKUP(O$1,Capacity!$D$3:$D$7,Capacity!$F$3:$F$7)-T257,0)</f>
        <v>0</v>
      </c>
      <c r="P257">
        <f>IF(U257&lt;_xlfn.XLOOKUP(P$1,Capacity!$D$3:$D$7,Capacity!$E$3:$E$7),_xlfn.XLOOKUP(P$1,Capacity!$D$3:$D$7,Capacity!$F$3:$F$7)-U257,0)</f>
        <v>0</v>
      </c>
      <c r="Q257">
        <f t="shared" si="19"/>
        <v>3202</v>
      </c>
      <c r="R257">
        <f t="shared" si="20"/>
        <v>16667</v>
      </c>
      <c r="S257">
        <f t="shared" si="21"/>
        <v>2834</v>
      </c>
      <c r="T257">
        <f t="shared" si="22"/>
        <v>6351</v>
      </c>
      <c r="U257">
        <f t="shared" si="23"/>
        <v>8932</v>
      </c>
    </row>
    <row r="258" spans="1:21">
      <c r="A258" s="5">
        <f t="shared" si="24"/>
        <v>46279</v>
      </c>
      <c r="B258">
        <f>SUMIFS('Demand Projection'!$D$2:$D$169,'Demand Projection'!$B$2:$B$169,B$1,'Demand Projection'!$C$2:$C$169,$A258)</f>
        <v>0</v>
      </c>
      <c r="C258">
        <f>SUMIFS('Demand Projection'!$D$2:$D$169,'Demand Projection'!$B$2:$B$169,C$1,'Demand Projection'!$C$2:$C$169,$A258)</f>
        <v>0</v>
      </c>
      <c r="D258">
        <f>SUMIFS('Demand Projection'!$D$2:$D$169,'Demand Projection'!$B$2:$B$169,D$1,'Demand Projection'!$C$2:$C$169,$A258)</f>
        <v>0</v>
      </c>
      <c r="E258">
        <f>SUMIFS('Demand Projection'!$D$2:$D$169,'Demand Projection'!$B$2:$B$169,E$1,'Demand Projection'!$C$2:$C$169,$A258)</f>
        <v>0</v>
      </c>
      <c r="F258">
        <f>SUMIFS('Demand Projection'!$D$2:$D$169,'Demand Projection'!$B$2:$B$169,F$1,'Demand Projection'!$C$2:$C$169,$A258)</f>
        <v>0</v>
      </c>
      <c r="G258" cm="1">
        <f t="array" ref="G258">Q257+IF(ROW()-3&lt;2,0,INDEX(L:L,ROW()-3))</f>
        <v>3202</v>
      </c>
      <c r="H258" cm="1">
        <f t="array" ref="H258">R257+IF(ROW()-3&lt;2,0,INDEX(M:M,ROW()-3))</f>
        <v>16667</v>
      </c>
      <c r="I258" cm="1">
        <f t="array" ref="I258">S257+IF(ROW()-3&lt;2,0,INDEX(N:N,ROW()-3))</f>
        <v>4131</v>
      </c>
      <c r="J258" cm="1">
        <f t="array" ref="J258">T257+IF(ROW()-3&lt;2,0,INDEX(O:O,ROW()-3))</f>
        <v>6351</v>
      </c>
      <c r="K258" cm="1">
        <f t="array" ref="K258">U257+IF(ROW()-3&lt;2,0,INDEX(P:P,ROW()-3))</f>
        <v>8932</v>
      </c>
      <c r="L258">
        <f>IF(Q258&lt;_xlfn.XLOOKUP(L$1,Capacity!$D$3:$D$7,Capacity!$E$3:$E$7),_xlfn.XLOOKUP(L$1,Capacity!$D$3:$D$7,Capacity!$F$3:$F$7)-Q258,0)</f>
        <v>0</v>
      </c>
      <c r="M258">
        <f>IF(R258&lt;_xlfn.XLOOKUP(M$1,Capacity!$D$3:$D$7,Capacity!$E$3:$E$7),_xlfn.XLOOKUP(M$1,Capacity!$D$3:$D$7,Capacity!$F$3:$F$7)-R258,0)</f>
        <v>0</v>
      </c>
      <c r="N258">
        <f>IF(S258&lt;_xlfn.XLOOKUP(N$1,Capacity!$D$3:$D$7,Capacity!$E$3:$E$7),_xlfn.XLOOKUP(N$1,Capacity!$D$3:$D$7,Capacity!$F$3:$F$7)-S258,0)</f>
        <v>0</v>
      </c>
      <c r="O258">
        <f>IF(T258&lt;_xlfn.XLOOKUP(O$1,Capacity!$D$3:$D$7,Capacity!$E$3:$E$7),_xlfn.XLOOKUP(O$1,Capacity!$D$3:$D$7,Capacity!$F$3:$F$7)-T258,0)</f>
        <v>0</v>
      </c>
      <c r="P258">
        <f>IF(U258&lt;_xlfn.XLOOKUP(P$1,Capacity!$D$3:$D$7,Capacity!$E$3:$E$7),_xlfn.XLOOKUP(P$1,Capacity!$D$3:$D$7,Capacity!$F$3:$F$7)-U258,0)</f>
        <v>0</v>
      </c>
      <c r="Q258">
        <f t="shared" si="19"/>
        <v>3202</v>
      </c>
      <c r="R258">
        <f t="shared" si="20"/>
        <v>16667</v>
      </c>
      <c r="S258">
        <f t="shared" si="21"/>
        <v>4131</v>
      </c>
      <c r="T258">
        <f t="shared" si="22"/>
        <v>6351</v>
      </c>
      <c r="U258">
        <f t="shared" si="23"/>
        <v>8932</v>
      </c>
    </row>
    <row r="259" spans="1:21">
      <c r="A259" s="5">
        <f t="shared" si="24"/>
        <v>46280</v>
      </c>
      <c r="B259">
        <f>SUMIFS('Demand Projection'!$D$2:$D$169,'Demand Projection'!$B$2:$B$169,B$1,'Demand Projection'!$C$2:$C$169,$A259)</f>
        <v>0</v>
      </c>
      <c r="C259">
        <f>SUMIFS('Demand Projection'!$D$2:$D$169,'Demand Projection'!$B$2:$B$169,C$1,'Demand Projection'!$C$2:$C$169,$A259)</f>
        <v>0</v>
      </c>
      <c r="D259">
        <f>SUMIFS('Demand Projection'!$D$2:$D$169,'Demand Projection'!$B$2:$B$169,D$1,'Demand Projection'!$C$2:$C$169,$A259)</f>
        <v>0</v>
      </c>
      <c r="E259">
        <f>SUMIFS('Demand Projection'!$D$2:$D$169,'Demand Projection'!$B$2:$B$169,E$1,'Demand Projection'!$C$2:$C$169,$A259)</f>
        <v>0</v>
      </c>
      <c r="F259">
        <f>SUMIFS('Demand Projection'!$D$2:$D$169,'Demand Projection'!$B$2:$B$169,F$1,'Demand Projection'!$C$2:$C$169,$A259)</f>
        <v>0</v>
      </c>
      <c r="G259" cm="1">
        <f t="array" ref="G259">Q258+IF(ROW()-3&lt;2,0,INDEX(L:L,ROW()-3))</f>
        <v>3202</v>
      </c>
      <c r="H259" cm="1">
        <f t="array" ref="H259">R258+IF(ROW()-3&lt;2,0,INDEX(M:M,ROW()-3))</f>
        <v>16667</v>
      </c>
      <c r="I259" cm="1">
        <f t="array" ref="I259">S258+IF(ROW()-3&lt;2,0,INDEX(N:N,ROW()-3))</f>
        <v>4131</v>
      </c>
      <c r="J259" cm="1">
        <f t="array" ref="J259">T258+IF(ROW()-3&lt;2,0,INDEX(O:O,ROW()-3))</f>
        <v>6351</v>
      </c>
      <c r="K259" cm="1">
        <f t="array" ref="K259">U258+IF(ROW()-3&lt;2,0,INDEX(P:P,ROW()-3))</f>
        <v>8932</v>
      </c>
      <c r="L259">
        <f>IF(Q259&lt;_xlfn.XLOOKUP(L$1,Capacity!$D$3:$D$7,Capacity!$E$3:$E$7),_xlfn.XLOOKUP(L$1,Capacity!$D$3:$D$7,Capacity!$F$3:$F$7)-Q259,0)</f>
        <v>0</v>
      </c>
      <c r="M259">
        <f>IF(R259&lt;_xlfn.XLOOKUP(M$1,Capacity!$D$3:$D$7,Capacity!$E$3:$E$7),_xlfn.XLOOKUP(M$1,Capacity!$D$3:$D$7,Capacity!$F$3:$F$7)-R259,0)</f>
        <v>0</v>
      </c>
      <c r="N259">
        <f>IF(S259&lt;_xlfn.XLOOKUP(N$1,Capacity!$D$3:$D$7,Capacity!$E$3:$E$7),_xlfn.XLOOKUP(N$1,Capacity!$D$3:$D$7,Capacity!$F$3:$F$7)-S259,0)</f>
        <v>0</v>
      </c>
      <c r="O259">
        <f>IF(T259&lt;_xlfn.XLOOKUP(O$1,Capacity!$D$3:$D$7,Capacity!$E$3:$E$7),_xlfn.XLOOKUP(O$1,Capacity!$D$3:$D$7,Capacity!$F$3:$F$7)-T259,0)</f>
        <v>0</v>
      </c>
      <c r="P259">
        <f>IF(U259&lt;_xlfn.XLOOKUP(P$1,Capacity!$D$3:$D$7,Capacity!$E$3:$E$7),_xlfn.XLOOKUP(P$1,Capacity!$D$3:$D$7,Capacity!$F$3:$F$7)-U259,0)</f>
        <v>0</v>
      </c>
      <c r="Q259">
        <f t="shared" ref="Q259:Q322" si="25">G259-B259</f>
        <v>3202</v>
      </c>
      <c r="R259">
        <f t="shared" ref="R259:R322" si="26">H259-C259</f>
        <v>16667</v>
      </c>
      <c r="S259">
        <f t="shared" ref="S259:S322" si="27">I259-D259</f>
        <v>4131</v>
      </c>
      <c r="T259">
        <f t="shared" ref="T259:T322" si="28">J259-E259</f>
        <v>6351</v>
      </c>
      <c r="U259">
        <f t="shared" ref="U259:U322" si="29">K259-F259</f>
        <v>8932</v>
      </c>
    </row>
    <row r="260" spans="1:21">
      <c r="A260" s="5">
        <f t="shared" si="24"/>
        <v>46281</v>
      </c>
      <c r="B260">
        <f>SUMIFS('Demand Projection'!$D$2:$D$169,'Demand Projection'!$B$2:$B$169,B$1,'Demand Projection'!$C$2:$C$169,$A260)</f>
        <v>0</v>
      </c>
      <c r="C260">
        <f>SUMIFS('Demand Projection'!$D$2:$D$169,'Demand Projection'!$B$2:$B$169,C$1,'Demand Projection'!$C$2:$C$169,$A260)</f>
        <v>0</v>
      </c>
      <c r="D260">
        <f>SUMIFS('Demand Projection'!$D$2:$D$169,'Demand Projection'!$B$2:$B$169,D$1,'Demand Projection'!$C$2:$C$169,$A260)</f>
        <v>0</v>
      </c>
      <c r="E260">
        <f>SUMIFS('Demand Projection'!$D$2:$D$169,'Demand Projection'!$B$2:$B$169,E$1,'Demand Projection'!$C$2:$C$169,$A260)</f>
        <v>0</v>
      </c>
      <c r="F260">
        <f>SUMIFS('Demand Projection'!$D$2:$D$169,'Demand Projection'!$B$2:$B$169,F$1,'Demand Projection'!$C$2:$C$169,$A260)</f>
        <v>0</v>
      </c>
      <c r="G260" cm="1">
        <f t="array" ref="G260">Q259+IF(ROW()-3&lt;2,0,INDEX(L:L,ROW()-3))</f>
        <v>3202</v>
      </c>
      <c r="H260" cm="1">
        <f t="array" ref="H260">R259+IF(ROW()-3&lt;2,0,INDEX(M:M,ROW()-3))</f>
        <v>16667</v>
      </c>
      <c r="I260" cm="1">
        <f t="array" ref="I260">S259+IF(ROW()-3&lt;2,0,INDEX(N:N,ROW()-3))</f>
        <v>4131</v>
      </c>
      <c r="J260" cm="1">
        <f t="array" ref="J260">T259+IF(ROW()-3&lt;2,0,INDEX(O:O,ROW()-3))</f>
        <v>6351</v>
      </c>
      <c r="K260" cm="1">
        <f t="array" ref="K260">U259+IF(ROW()-3&lt;2,0,INDEX(P:P,ROW()-3))</f>
        <v>8932</v>
      </c>
      <c r="L260">
        <f>IF(Q260&lt;_xlfn.XLOOKUP(L$1,Capacity!$D$3:$D$7,Capacity!$E$3:$E$7),_xlfn.XLOOKUP(L$1,Capacity!$D$3:$D$7,Capacity!$F$3:$F$7)-Q260,0)</f>
        <v>0</v>
      </c>
      <c r="M260">
        <f>IF(R260&lt;_xlfn.XLOOKUP(M$1,Capacity!$D$3:$D$7,Capacity!$E$3:$E$7),_xlfn.XLOOKUP(M$1,Capacity!$D$3:$D$7,Capacity!$F$3:$F$7)-R260,0)</f>
        <v>0</v>
      </c>
      <c r="N260">
        <f>IF(S260&lt;_xlfn.XLOOKUP(N$1,Capacity!$D$3:$D$7,Capacity!$E$3:$E$7),_xlfn.XLOOKUP(N$1,Capacity!$D$3:$D$7,Capacity!$F$3:$F$7)-S260,0)</f>
        <v>0</v>
      </c>
      <c r="O260">
        <f>IF(T260&lt;_xlfn.XLOOKUP(O$1,Capacity!$D$3:$D$7,Capacity!$E$3:$E$7),_xlfn.XLOOKUP(O$1,Capacity!$D$3:$D$7,Capacity!$F$3:$F$7)-T260,0)</f>
        <v>0</v>
      </c>
      <c r="P260">
        <f>IF(U260&lt;_xlfn.XLOOKUP(P$1,Capacity!$D$3:$D$7,Capacity!$E$3:$E$7),_xlfn.XLOOKUP(P$1,Capacity!$D$3:$D$7,Capacity!$F$3:$F$7)-U260,0)</f>
        <v>0</v>
      </c>
      <c r="Q260">
        <f t="shared" si="25"/>
        <v>3202</v>
      </c>
      <c r="R260">
        <f t="shared" si="26"/>
        <v>16667</v>
      </c>
      <c r="S260">
        <f t="shared" si="27"/>
        <v>4131</v>
      </c>
      <c r="T260">
        <f t="shared" si="28"/>
        <v>6351</v>
      </c>
      <c r="U260">
        <f t="shared" si="29"/>
        <v>8932</v>
      </c>
    </row>
    <row r="261" spans="1:21">
      <c r="A261" s="5">
        <f t="shared" ref="A261:A324" si="30">A260+1</f>
        <v>46282</v>
      </c>
      <c r="B261">
        <f>SUMIFS('Demand Projection'!$D$2:$D$169,'Demand Projection'!$B$2:$B$169,B$1,'Demand Projection'!$C$2:$C$169,$A261)</f>
        <v>0</v>
      </c>
      <c r="C261">
        <f>SUMIFS('Demand Projection'!$D$2:$D$169,'Demand Projection'!$B$2:$B$169,C$1,'Demand Projection'!$C$2:$C$169,$A261)</f>
        <v>0</v>
      </c>
      <c r="D261">
        <f>SUMIFS('Demand Projection'!$D$2:$D$169,'Demand Projection'!$B$2:$B$169,D$1,'Demand Projection'!$C$2:$C$169,$A261)</f>
        <v>0</v>
      </c>
      <c r="E261">
        <f>SUMIFS('Demand Projection'!$D$2:$D$169,'Demand Projection'!$B$2:$B$169,E$1,'Demand Projection'!$C$2:$C$169,$A261)</f>
        <v>561</v>
      </c>
      <c r="F261">
        <f>SUMIFS('Demand Projection'!$D$2:$D$169,'Demand Projection'!$B$2:$B$169,F$1,'Demand Projection'!$C$2:$C$169,$A261)</f>
        <v>0</v>
      </c>
      <c r="G261" cm="1">
        <f t="array" ref="G261">Q260+IF(ROW()-3&lt;2,0,INDEX(L:L,ROW()-3))</f>
        <v>3202</v>
      </c>
      <c r="H261" cm="1">
        <f t="array" ref="H261">R260+IF(ROW()-3&lt;2,0,INDEX(M:M,ROW()-3))</f>
        <v>16667</v>
      </c>
      <c r="I261" cm="1">
        <f t="array" ref="I261">S260+IF(ROW()-3&lt;2,0,INDEX(N:N,ROW()-3))</f>
        <v>4131</v>
      </c>
      <c r="J261" cm="1">
        <f t="array" ref="J261">T260+IF(ROW()-3&lt;2,0,INDEX(O:O,ROW()-3))</f>
        <v>6351</v>
      </c>
      <c r="K261" cm="1">
        <f t="array" ref="K261">U260+IF(ROW()-3&lt;2,0,INDEX(P:P,ROW()-3))</f>
        <v>8932</v>
      </c>
      <c r="L261">
        <f>IF(Q261&lt;_xlfn.XLOOKUP(L$1,Capacity!$D$3:$D$7,Capacity!$E$3:$E$7),_xlfn.XLOOKUP(L$1,Capacity!$D$3:$D$7,Capacity!$F$3:$F$7)-Q261,0)</f>
        <v>0</v>
      </c>
      <c r="M261">
        <f>IF(R261&lt;_xlfn.XLOOKUP(M$1,Capacity!$D$3:$D$7,Capacity!$E$3:$E$7),_xlfn.XLOOKUP(M$1,Capacity!$D$3:$D$7,Capacity!$F$3:$F$7)-R261,0)</f>
        <v>0</v>
      </c>
      <c r="N261">
        <f>IF(S261&lt;_xlfn.XLOOKUP(N$1,Capacity!$D$3:$D$7,Capacity!$E$3:$E$7),_xlfn.XLOOKUP(N$1,Capacity!$D$3:$D$7,Capacity!$F$3:$F$7)-S261,0)</f>
        <v>0</v>
      </c>
      <c r="O261">
        <f>IF(T261&lt;_xlfn.XLOOKUP(O$1,Capacity!$D$3:$D$7,Capacity!$E$3:$E$7),_xlfn.XLOOKUP(O$1,Capacity!$D$3:$D$7,Capacity!$F$3:$F$7)-T261,0)</f>
        <v>0</v>
      </c>
      <c r="P261">
        <f>IF(U261&lt;_xlfn.XLOOKUP(P$1,Capacity!$D$3:$D$7,Capacity!$E$3:$E$7),_xlfn.XLOOKUP(P$1,Capacity!$D$3:$D$7,Capacity!$F$3:$F$7)-U261,0)</f>
        <v>0</v>
      </c>
      <c r="Q261">
        <f t="shared" si="25"/>
        <v>3202</v>
      </c>
      <c r="R261">
        <f t="shared" si="26"/>
        <v>16667</v>
      </c>
      <c r="S261">
        <f t="shared" si="27"/>
        <v>4131</v>
      </c>
      <c r="T261">
        <f t="shared" si="28"/>
        <v>5790</v>
      </c>
      <c r="U261">
        <f t="shared" si="29"/>
        <v>8932</v>
      </c>
    </row>
    <row r="262" spans="1:21">
      <c r="A262" s="5">
        <f t="shared" si="30"/>
        <v>46283</v>
      </c>
      <c r="B262">
        <f>SUMIFS('Demand Projection'!$D$2:$D$169,'Demand Projection'!$B$2:$B$169,B$1,'Demand Projection'!$C$2:$C$169,$A262)</f>
        <v>0</v>
      </c>
      <c r="C262">
        <f>SUMIFS('Demand Projection'!$D$2:$D$169,'Demand Projection'!$B$2:$B$169,C$1,'Demand Projection'!$C$2:$C$169,$A262)</f>
        <v>0</v>
      </c>
      <c r="D262">
        <f>SUMIFS('Demand Projection'!$D$2:$D$169,'Demand Projection'!$B$2:$B$169,D$1,'Demand Projection'!$C$2:$C$169,$A262)</f>
        <v>0</v>
      </c>
      <c r="E262">
        <f>SUMIFS('Demand Projection'!$D$2:$D$169,'Demand Projection'!$B$2:$B$169,E$1,'Demand Projection'!$C$2:$C$169,$A262)</f>
        <v>0</v>
      </c>
      <c r="F262">
        <f>SUMIFS('Demand Projection'!$D$2:$D$169,'Demand Projection'!$B$2:$B$169,F$1,'Demand Projection'!$C$2:$C$169,$A262)</f>
        <v>0</v>
      </c>
      <c r="G262" cm="1">
        <f t="array" ref="G262">Q261+IF(ROW()-3&lt;2,0,INDEX(L:L,ROW()-3))</f>
        <v>3202</v>
      </c>
      <c r="H262" cm="1">
        <f t="array" ref="H262">R261+IF(ROW()-3&lt;2,0,INDEX(M:M,ROW()-3))</f>
        <v>16667</v>
      </c>
      <c r="I262" cm="1">
        <f t="array" ref="I262">S261+IF(ROW()-3&lt;2,0,INDEX(N:N,ROW()-3))</f>
        <v>4131</v>
      </c>
      <c r="J262" cm="1">
        <f t="array" ref="J262">T261+IF(ROW()-3&lt;2,0,INDEX(O:O,ROW()-3))</f>
        <v>5790</v>
      </c>
      <c r="K262" cm="1">
        <f t="array" ref="K262">U261+IF(ROW()-3&lt;2,0,INDEX(P:P,ROW()-3))</f>
        <v>8932</v>
      </c>
      <c r="L262">
        <f>IF(Q262&lt;_xlfn.XLOOKUP(L$1,Capacity!$D$3:$D$7,Capacity!$E$3:$E$7),_xlfn.XLOOKUP(L$1,Capacity!$D$3:$D$7,Capacity!$F$3:$F$7)-Q262,0)</f>
        <v>0</v>
      </c>
      <c r="M262">
        <f>IF(R262&lt;_xlfn.XLOOKUP(M$1,Capacity!$D$3:$D$7,Capacity!$E$3:$E$7),_xlfn.XLOOKUP(M$1,Capacity!$D$3:$D$7,Capacity!$F$3:$F$7)-R262,0)</f>
        <v>0</v>
      </c>
      <c r="N262">
        <f>IF(S262&lt;_xlfn.XLOOKUP(N$1,Capacity!$D$3:$D$7,Capacity!$E$3:$E$7),_xlfn.XLOOKUP(N$1,Capacity!$D$3:$D$7,Capacity!$F$3:$F$7)-S262,0)</f>
        <v>0</v>
      </c>
      <c r="O262">
        <f>IF(T262&lt;_xlfn.XLOOKUP(O$1,Capacity!$D$3:$D$7,Capacity!$E$3:$E$7),_xlfn.XLOOKUP(O$1,Capacity!$D$3:$D$7,Capacity!$F$3:$F$7)-T262,0)</f>
        <v>0</v>
      </c>
      <c r="P262">
        <f>IF(U262&lt;_xlfn.XLOOKUP(P$1,Capacity!$D$3:$D$7,Capacity!$E$3:$E$7),_xlfn.XLOOKUP(P$1,Capacity!$D$3:$D$7,Capacity!$F$3:$F$7)-U262,0)</f>
        <v>0</v>
      </c>
      <c r="Q262">
        <f t="shared" si="25"/>
        <v>3202</v>
      </c>
      <c r="R262">
        <f t="shared" si="26"/>
        <v>16667</v>
      </c>
      <c r="S262">
        <f t="shared" si="27"/>
        <v>4131</v>
      </c>
      <c r="T262">
        <f t="shared" si="28"/>
        <v>5790</v>
      </c>
      <c r="U262">
        <f t="shared" si="29"/>
        <v>8932</v>
      </c>
    </row>
    <row r="263" spans="1:21">
      <c r="A263" s="5">
        <f t="shared" si="30"/>
        <v>46284</v>
      </c>
      <c r="B263">
        <f>SUMIFS('Demand Projection'!$D$2:$D$169,'Demand Projection'!$B$2:$B$169,B$1,'Demand Projection'!$C$2:$C$169,$A263)</f>
        <v>0</v>
      </c>
      <c r="C263">
        <f>SUMIFS('Demand Projection'!$D$2:$D$169,'Demand Projection'!$B$2:$B$169,C$1,'Demand Projection'!$C$2:$C$169,$A263)</f>
        <v>0</v>
      </c>
      <c r="D263">
        <f>SUMIFS('Demand Projection'!$D$2:$D$169,'Demand Projection'!$B$2:$B$169,D$1,'Demand Projection'!$C$2:$C$169,$A263)</f>
        <v>0</v>
      </c>
      <c r="E263">
        <f>SUMIFS('Demand Projection'!$D$2:$D$169,'Demand Projection'!$B$2:$B$169,E$1,'Demand Projection'!$C$2:$C$169,$A263)</f>
        <v>0</v>
      </c>
      <c r="F263">
        <f>SUMIFS('Demand Projection'!$D$2:$D$169,'Demand Projection'!$B$2:$B$169,F$1,'Demand Projection'!$C$2:$C$169,$A263)</f>
        <v>0</v>
      </c>
      <c r="G263" cm="1">
        <f t="array" ref="G263">Q262+IF(ROW()-3&lt;2,0,INDEX(L:L,ROW()-3))</f>
        <v>3202</v>
      </c>
      <c r="H263" cm="1">
        <f t="array" ref="H263">R262+IF(ROW()-3&lt;2,0,INDEX(M:M,ROW()-3))</f>
        <v>16667</v>
      </c>
      <c r="I263" cm="1">
        <f t="array" ref="I263">S262+IF(ROW()-3&lt;2,0,INDEX(N:N,ROW()-3))</f>
        <v>4131</v>
      </c>
      <c r="J263" cm="1">
        <f t="array" ref="J263">T262+IF(ROW()-3&lt;2,0,INDEX(O:O,ROW()-3))</f>
        <v>5790</v>
      </c>
      <c r="K263" cm="1">
        <f t="array" ref="K263">U262+IF(ROW()-3&lt;2,0,INDEX(P:P,ROW()-3))</f>
        <v>8932</v>
      </c>
      <c r="L263">
        <f>IF(Q263&lt;_xlfn.XLOOKUP(L$1,Capacity!$D$3:$D$7,Capacity!$E$3:$E$7),_xlfn.XLOOKUP(L$1,Capacity!$D$3:$D$7,Capacity!$F$3:$F$7)-Q263,0)</f>
        <v>0</v>
      </c>
      <c r="M263">
        <f>IF(R263&lt;_xlfn.XLOOKUP(M$1,Capacity!$D$3:$D$7,Capacity!$E$3:$E$7),_xlfn.XLOOKUP(M$1,Capacity!$D$3:$D$7,Capacity!$F$3:$F$7)-R263,0)</f>
        <v>0</v>
      </c>
      <c r="N263">
        <f>IF(S263&lt;_xlfn.XLOOKUP(N$1,Capacity!$D$3:$D$7,Capacity!$E$3:$E$7),_xlfn.XLOOKUP(N$1,Capacity!$D$3:$D$7,Capacity!$F$3:$F$7)-S263,0)</f>
        <v>0</v>
      </c>
      <c r="O263">
        <f>IF(T263&lt;_xlfn.XLOOKUP(O$1,Capacity!$D$3:$D$7,Capacity!$E$3:$E$7),_xlfn.XLOOKUP(O$1,Capacity!$D$3:$D$7,Capacity!$F$3:$F$7)-T263,0)</f>
        <v>0</v>
      </c>
      <c r="P263">
        <f>IF(U263&lt;_xlfn.XLOOKUP(P$1,Capacity!$D$3:$D$7,Capacity!$E$3:$E$7),_xlfn.XLOOKUP(P$1,Capacity!$D$3:$D$7,Capacity!$F$3:$F$7)-U263,0)</f>
        <v>0</v>
      </c>
      <c r="Q263">
        <f t="shared" si="25"/>
        <v>3202</v>
      </c>
      <c r="R263">
        <f t="shared" si="26"/>
        <v>16667</v>
      </c>
      <c r="S263">
        <f t="shared" si="27"/>
        <v>4131</v>
      </c>
      <c r="T263">
        <f t="shared" si="28"/>
        <v>5790</v>
      </c>
      <c r="U263">
        <f t="shared" si="29"/>
        <v>8932</v>
      </c>
    </row>
    <row r="264" spans="1:21">
      <c r="A264" s="5">
        <f t="shared" si="30"/>
        <v>46285</v>
      </c>
      <c r="B264">
        <f>SUMIFS('Demand Projection'!$D$2:$D$169,'Demand Projection'!$B$2:$B$169,B$1,'Demand Projection'!$C$2:$C$169,$A264)</f>
        <v>0</v>
      </c>
      <c r="C264">
        <f>SUMIFS('Demand Projection'!$D$2:$D$169,'Demand Projection'!$B$2:$B$169,C$1,'Demand Projection'!$C$2:$C$169,$A264)</f>
        <v>0</v>
      </c>
      <c r="D264">
        <f>SUMIFS('Demand Projection'!$D$2:$D$169,'Demand Projection'!$B$2:$B$169,D$1,'Demand Projection'!$C$2:$C$169,$A264)</f>
        <v>516</v>
      </c>
      <c r="E264">
        <f>SUMIFS('Demand Projection'!$D$2:$D$169,'Demand Projection'!$B$2:$B$169,E$1,'Demand Projection'!$C$2:$C$169,$A264)</f>
        <v>0</v>
      </c>
      <c r="F264">
        <f>SUMIFS('Demand Projection'!$D$2:$D$169,'Demand Projection'!$B$2:$B$169,F$1,'Demand Projection'!$C$2:$C$169,$A264)</f>
        <v>0</v>
      </c>
      <c r="G264" cm="1">
        <f t="array" ref="G264">Q263+IF(ROW()-3&lt;2,0,INDEX(L:L,ROW()-3))</f>
        <v>3202</v>
      </c>
      <c r="H264" cm="1">
        <f t="array" ref="H264">R263+IF(ROW()-3&lt;2,0,INDEX(M:M,ROW()-3))</f>
        <v>16667</v>
      </c>
      <c r="I264" cm="1">
        <f t="array" ref="I264">S263+IF(ROW()-3&lt;2,0,INDEX(N:N,ROW()-3))</f>
        <v>4131</v>
      </c>
      <c r="J264" cm="1">
        <f t="array" ref="J264">T263+IF(ROW()-3&lt;2,0,INDEX(O:O,ROW()-3))</f>
        <v>5790</v>
      </c>
      <c r="K264" cm="1">
        <f t="array" ref="K264">U263+IF(ROW()-3&lt;2,0,INDEX(P:P,ROW()-3))</f>
        <v>8932</v>
      </c>
      <c r="L264">
        <f>IF(Q264&lt;_xlfn.XLOOKUP(L$1,Capacity!$D$3:$D$7,Capacity!$E$3:$E$7),_xlfn.XLOOKUP(L$1,Capacity!$D$3:$D$7,Capacity!$F$3:$F$7)-Q264,0)</f>
        <v>0</v>
      </c>
      <c r="M264">
        <f>IF(R264&lt;_xlfn.XLOOKUP(M$1,Capacity!$D$3:$D$7,Capacity!$E$3:$E$7),_xlfn.XLOOKUP(M$1,Capacity!$D$3:$D$7,Capacity!$F$3:$F$7)-R264,0)</f>
        <v>0</v>
      </c>
      <c r="N264">
        <f>IF(S264&lt;_xlfn.XLOOKUP(N$1,Capacity!$D$3:$D$7,Capacity!$E$3:$E$7),_xlfn.XLOOKUP(N$1,Capacity!$D$3:$D$7,Capacity!$F$3:$F$7)-S264,0)</f>
        <v>0</v>
      </c>
      <c r="O264">
        <f>IF(T264&lt;_xlfn.XLOOKUP(O$1,Capacity!$D$3:$D$7,Capacity!$E$3:$E$7),_xlfn.XLOOKUP(O$1,Capacity!$D$3:$D$7,Capacity!$F$3:$F$7)-T264,0)</f>
        <v>0</v>
      </c>
      <c r="P264">
        <f>IF(U264&lt;_xlfn.XLOOKUP(P$1,Capacity!$D$3:$D$7,Capacity!$E$3:$E$7),_xlfn.XLOOKUP(P$1,Capacity!$D$3:$D$7,Capacity!$F$3:$F$7)-U264,0)</f>
        <v>0</v>
      </c>
      <c r="Q264">
        <f t="shared" si="25"/>
        <v>3202</v>
      </c>
      <c r="R264">
        <f t="shared" si="26"/>
        <v>16667</v>
      </c>
      <c r="S264">
        <f t="shared" si="27"/>
        <v>3615</v>
      </c>
      <c r="T264">
        <f t="shared" si="28"/>
        <v>5790</v>
      </c>
      <c r="U264">
        <f t="shared" si="29"/>
        <v>8932</v>
      </c>
    </row>
    <row r="265" spans="1:21">
      <c r="A265" s="5">
        <f t="shared" si="30"/>
        <v>46286</v>
      </c>
      <c r="B265">
        <f>SUMIFS('Demand Projection'!$D$2:$D$169,'Demand Projection'!$B$2:$B$169,B$1,'Demand Projection'!$C$2:$C$169,$A265)</f>
        <v>0</v>
      </c>
      <c r="C265">
        <f>SUMIFS('Demand Projection'!$D$2:$D$169,'Demand Projection'!$B$2:$B$169,C$1,'Demand Projection'!$C$2:$C$169,$A265)</f>
        <v>0</v>
      </c>
      <c r="D265">
        <f>SUMIFS('Demand Projection'!$D$2:$D$169,'Demand Projection'!$B$2:$B$169,D$1,'Demand Projection'!$C$2:$C$169,$A265)</f>
        <v>0</v>
      </c>
      <c r="E265">
        <f>SUMIFS('Demand Projection'!$D$2:$D$169,'Demand Projection'!$B$2:$B$169,E$1,'Demand Projection'!$C$2:$C$169,$A265)</f>
        <v>0</v>
      </c>
      <c r="F265">
        <f>SUMIFS('Demand Projection'!$D$2:$D$169,'Demand Projection'!$B$2:$B$169,F$1,'Demand Projection'!$C$2:$C$169,$A265)</f>
        <v>0</v>
      </c>
      <c r="G265" cm="1">
        <f t="array" ref="G265">Q264+IF(ROW()-3&lt;2,0,INDEX(L:L,ROW()-3))</f>
        <v>3202</v>
      </c>
      <c r="H265" cm="1">
        <f t="array" ref="H265">R264+IF(ROW()-3&lt;2,0,INDEX(M:M,ROW()-3))</f>
        <v>16667</v>
      </c>
      <c r="I265" cm="1">
        <f t="array" ref="I265">S264+IF(ROW()-3&lt;2,0,INDEX(N:N,ROW()-3))</f>
        <v>3615</v>
      </c>
      <c r="J265" cm="1">
        <f t="array" ref="J265">T264+IF(ROW()-3&lt;2,0,INDEX(O:O,ROW()-3))</f>
        <v>5790</v>
      </c>
      <c r="K265" cm="1">
        <f t="array" ref="K265">U264+IF(ROW()-3&lt;2,0,INDEX(P:P,ROW()-3))</f>
        <v>8932</v>
      </c>
      <c r="L265">
        <f>IF(Q265&lt;_xlfn.XLOOKUP(L$1,Capacity!$D$3:$D$7,Capacity!$E$3:$E$7),_xlfn.XLOOKUP(L$1,Capacity!$D$3:$D$7,Capacity!$F$3:$F$7)-Q265,0)</f>
        <v>0</v>
      </c>
      <c r="M265">
        <f>IF(R265&lt;_xlfn.XLOOKUP(M$1,Capacity!$D$3:$D$7,Capacity!$E$3:$E$7),_xlfn.XLOOKUP(M$1,Capacity!$D$3:$D$7,Capacity!$F$3:$F$7)-R265,0)</f>
        <v>0</v>
      </c>
      <c r="N265">
        <f>IF(S265&lt;_xlfn.XLOOKUP(N$1,Capacity!$D$3:$D$7,Capacity!$E$3:$E$7),_xlfn.XLOOKUP(N$1,Capacity!$D$3:$D$7,Capacity!$F$3:$F$7)-S265,0)</f>
        <v>0</v>
      </c>
      <c r="O265">
        <f>IF(T265&lt;_xlfn.XLOOKUP(O$1,Capacity!$D$3:$D$7,Capacity!$E$3:$E$7),_xlfn.XLOOKUP(O$1,Capacity!$D$3:$D$7,Capacity!$F$3:$F$7)-T265,0)</f>
        <v>0</v>
      </c>
      <c r="P265">
        <f>IF(U265&lt;_xlfn.XLOOKUP(P$1,Capacity!$D$3:$D$7,Capacity!$E$3:$E$7),_xlfn.XLOOKUP(P$1,Capacity!$D$3:$D$7,Capacity!$F$3:$F$7)-U265,0)</f>
        <v>0</v>
      </c>
      <c r="Q265">
        <f t="shared" si="25"/>
        <v>3202</v>
      </c>
      <c r="R265">
        <f t="shared" si="26"/>
        <v>16667</v>
      </c>
      <c r="S265">
        <f t="shared" si="27"/>
        <v>3615</v>
      </c>
      <c r="T265">
        <f t="shared" si="28"/>
        <v>5790</v>
      </c>
      <c r="U265">
        <f t="shared" si="29"/>
        <v>8932</v>
      </c>
    </row>
    <row r="266" spans="1:21">
      <c r="A266" s="5">
        <f t="shared" si="30"/>
        <v>46287</v>
      </c>
      <c r="B266">
        <f>SUMIFS('Demand Projection'!$D$2:$D$169,'Demand Projection'!$B$2:$B$169,B$1,'Demand Projection'!$C$2:$C$169,$A266)</f>
        <v>0</v>
      </c>
      <c r="C266">
        <f>SUMIFS('Demand Projection'!$D$2:$D$169,'Demand Projection'!$B$2:$B$169,C$1,'Demand Projection'!$C$2:$C$169,$A266)</f>
        <v>0</v>
      </c>
      <c r="D266">
        <f>SUMIFS('Demand Projection'!$D$2:$D$169,'Demand Projection'!$B$2:$B$169,D$1,'Demand Projection'!$C$2:$C$169,$A266)</f>
        <v>0</v>
      </c>
      <c r="E266">
        <f>SUMIFS('Demand Projection'!$D$2:$D$169,'Demand Projection'!$B$2:$B$169,E$1,'Demand Projection'!$C$2:$C$169,$A266)</f>
        <v>0</v>
      </c>
      <c r="F266">
        <f>SUMIFS('Demand Projection'!$D$2:$D$169,'Demand Projection'!$B$2:$B$169,F$1,'Demand Projection'!$C$2:$C$169,$A266)</f>
        <v>0</v>
      </c>
      <c r="G266" cm="1">
        <f t="array" ref="G266">Q265+IF(ROW()-3&lt;2,0,INDEX(L:L,ROW()-3))</f>
        <v>3202</v>
      </c>
      <c r="H266" cm="1">
        <f t="array" ref="H266">R265+IF(ROW()-3&lt;2,0,INDEX(M:M,ROW()-3))</f>
        <v>16667</v>
      </c>
      <c r="I266" cm="1">
        <f t="array" ref="I266">S265+IF(ROW()-3&lt;2,0,INDEX(N:N,ROW()-3))</f>
        <v>3615</v>
      </c>
      <c r="J266" cm="1">
        <f t="array" ref="J266">T265+IF(ROW()-3&lt;2,0,INDEX(O:O,ROW()-3))</f>
        <v>5790</v>
      </c>
      <c r="K266" cm="1">
        <f t="array" ref="K266">U265+IF(ROW()-3&lt;2,0,INDEX(P:P,ROW()-3))</f>
        <v>8932</v>
      </c>
      <c r="L266">
        <f>IF(Q266&lt;_xlfn.XLOOKUP(L$1,Capacity!$D$3:$D$7,Capacity!$E$3:$E$7),_xlfn.XLOOKUP(L$1,Capacity!$D$3:$D$7,Capacity!$F$3:$F$7)-Q266,0)</f>
        <v>0</v>
      </c>
      <c r="M266">
        <f>IF(R266&lt;_xlfn.XLOOKUP(M$1,Capacity!$D$3:$D$7,Capacity!$E$3:$E$7),_xlfn.XLOOKUP(M$1,Capacity!$D$3:$D$7,Capacity!$F$3:$F$7)-R266,0)</f>
        <v>0</v>
      </c>
      <c r="N266">
        <f>IF(S266&lt;_xlfn.XLOOKUP(N$1,Capacity!$D$3:$D$7,Capacity!$E$3:$E$7),_xlfn.XLOOKUP(N$1,Capacity!$D$3:$D$7,Capacity!$F$3:$F$7)-S266,0)</f>
        <v>0</v>
      </c>
      <c r="O266">
        <f>IF(T266&lt;_xlfn.XLOOKUP(O$1,Capacity!$D$3:$D$7,Capacity!$E$3:$E$7),_xlfn.XLOOKUP(O$1,Capacity!$D$3:$D$7,Capacity!$F$3:$F$7)-T266,0)</f>
        <v>0</v>
      </c>
      <c r="P266">
        <f>IF(U266&lt;_xlfn.XLOOKUP(P$1,Capacity!$D$3:$D$7,Capacity!$E$3:$E$7),_xlfn.XLOOKUP(P$1,Capacity!$D$3:$D$7,Capacity!$F$3:$F$7)-U266,0)</f>
        <v>0</v>
      </c>
      <c r="Q266">
        <f t="shared" si="25"/>
        <v>3202</v>
      </c>
      <c r="R266">
        <f t="shared" si="26"/>
        <v>16667</v>
      </c>
      <c r="S266">
        <f t="shared" si="27"/>
        <v>3615</v>
      </c>
      <c r="T266">
        <f t="shared" si="28"/>
        <v>5790</v>
      </c>
      <c r="U266">
        <f t="shared" si="29"/>
        <v>8932</v>
      </c>
    </row>
    <row r="267" spans="1:21">
      <c r="A267" s="5">
        <f t="shared" si="30"/>
        <v>46288</v>
      </c>
      <c r="B267">
        <f>SUMIFS('Demand Projection'!$D$2:$D$169,'Demand Projection'!$B$2:$B$169,B$1,'Demand Projection'!$C$2:$C$169,$A267)</f>
        <v>0</v>
      </c>
      <c r="C267">
        <f>SUMIFS('Demand Projection'!$D$2:$D$169,'Demand Projection'!$B$2:$B$169,C$1,'Demand Projection'!$C$2:$C$169,$A267)</f>
        <v>0</v>
      </c>
      <c r="D267">
        <f>SUMIFS('Demand Projection'!$D$2:$D$169,'Demand Projection'!$B$2:$B$169,D$1,'Demand Projection'!$C$2:$C$169,$A267)</f>
        <v>0</v>
      </c>
      <c r="E267">
        <f>SUMIFS('Demand Projection'!$D$2:$D$169,'Demand Projection'!$B$2:$B$169,E$1,'Demand Projection'!$C$2:$C$169,$A267)</f>
        <v>0</v>
      </c>
      <c r="F267">
        <f>SUMIFS('Demand Projection'!$D$2:$D$169,'Demand Projection'!$B$2:$B$169,F$1,'Demand Projection'!$C$2:$C$169,$A267)</f>
        <v>0</v>
      </c>
      <c r="G267" cm="1">
        <f t="array" ref="G267">Q266+IF(ROW()-3&lt;2,0,INDEX(L:L,ROW()-3))</f>
        <v>3202</v>
      </c>
      <c r="H267" cm="1">
        <f t="array" ref="H267">R266+IF(ROW()-3&lt;2,0,INDEX(M:M,ROW()-3))</f>
        <v>16667</v>
      </c>
      <c r="I267" cm="1">
        <f t="array" ref="I267">S266+IF(ROW()-3&lt;2,0,INDEX(N:N,ROW()-3))</f>
        <v>3615</v>
      </c>
      <c r="J267" cm="1">
        <f t="array" ref="J267">T266+IF(ROW()-3&lt;2,0,INDEX(O:O,ROW()-3))</f>
        <v>5790</v>
      </c>
      <c r="K267" cm="1">
        <f t="array" ref="K267">U266+IF(ROW()-3&lt;2,0,INDEX(P:P,ROW()-3))</f>
        <v>8932</v>
      </c>
      <c r="L267">
        <f>IF(Q267&lt;_xlfn.XLOOKUP(L$1,Capacity!$D$3:$D$7,Capacity!$E$3:$E$7),_xlfn.XLOOKUP(L$1,Capacity!$D$3:$D$7,Capacity!$F$3:$F$7)-Q267,0)</f>
        <v>0</v>
      </c>
      <c r="M267">
        <f>IF(R267&lt;_xlfn.XLOOKUP(M$1,Capacity!$D$3:$D$7,Capacity!$E$3:$E$7),_xlfn.XLOOKUP(M$1,Capacity!$D$3:$D$7,Capacity!$F$3:$F$7)-R267,0)</f>
        <v>0</v>
      </c>
      <c r="N267">
        <f>IF(S267&lt;_xlfn.XLOOKUP(N$1,Capacity!$D$3:$D$7,Capacity!$E$3:$E$7),_xlfn.XLOOKUP(N$1,Capacity!$D$3:$D$7,Capacity!$F$3:$F$7)-S267,0)</f>
        <v>0</v>
      </c>
      <c r="O267">
        <f>IF(T267&lt;_xlfn.XLOOKUP(O$1,Capacity!$D$3:$D$7,Capacity!$E$3:$E$7),_xlfn.XLOOKUP(O$1,Capacity!$D$3:$D$7,Capacity!$F$3:$F$7)-T267,0)</f>
        <v>0</v>
      </c>
      <c r="P267">
        <f>IF(U267&lt;_xlfn.XLOOKUP(P$1,Capacity!$D$3:$D$7,Capacity!$E$3:$E$7),_xlfn.XLOOKUP(P$1,Capacity!$D$3:$D$7,Capacity!$F$3:$F$7)-U267,0)</f>
        <v>0</v>
      </c>
      <c r="Q267">
        <f t="shared" si="25"/>
        <v>3202</v>
      </c>
      <c r="R267">
        <f t="shared" si="26"/>
        <v>16667</v>
      </c>
      <c r="S267">
        <f t="shared" si="27"/>
        <v>3615</v>
      </c>
      <c r="T267">
        <f t="shared" si="28"/>
        <v>5790</v>
      </c>
      <c r="U267">
        <f t="shared" si="29"/>
        <v>8932</v>
      </c>
    </row>
    <row r="268" spans="1:21">
      <c r="A268" s="5">
        <f t="shared" si="30"/>
        <v>46289</v>
      </c>
      <c r="B268">
        <f>SUMIFS('Demand Projection'!$D$2:$D$169,'Demand Projection'!$B$2:$B$169,B$1,'Demand Projection'!$C$2:$C$169,$A268)</f>
        <v>713</v>
      </c>
      <c r="C268">
        <f>SUMIFS('Demand Projection'!$D$2:$D$169,'Demand Projection'!$B$2:$B$169,C$1,'Demand Projection'!$C$2:$C$169,$A268)</f>
        <v>0</v>
      </c>
      <c r="D268">
        <f>SUMIFS('Demand Projection'!$D$2:$D$169,'Demand Projection'!$B$2:$B$169,D$1,'Demand Projection'!$C$2:$C$169,$A268)</f>
        <v>0</v>
      </c>
      <c r="E268">
        <f>SUMIFS('Demand Projection'!$D$2:$D$169,'Demand Projection'!$B$2:$B$169,E$1,'Demand Projection'!$C$2:$C$169,$A268)</f>
        <v>0</v>
      </c>
      <c r="F268">
        <f>SUMIFS('Demand Projection'!$D$2:$D$169,'Demand Projection'!$B$2:$B$169,F$1,'Demand Projection'!$C$2:$C$169,$A268)</f>
        <v>0</v>
      </c>
      <c r="G268" cm="1">
        <f t="array" ref="G268">Q267+IF(ROW()-3&lt;2,0,INDEX(L:L,ROW()-3))</f>
        <v>3202</v>
      </c>
      <c r="H268" cm="1">
        <f t="array" ref="H268">R267+IF(ROW()-3&lt;2,0,INDEX(M:M,ROW()-3))</f>
        <v>16667</v>
      </c>
      <c r="I268" cm="1">
        <f t="array" ref="I268">S267+IF(ROW()-3&lt;2,0,INDEX(N:N,ROW()-3))</f>
        <v>3615</v>
      </c>
      <c r="J268" cm="1">
        <f t="array" ref="J268">T267+IF(ROW()-3&lt;2,0,INDEX(O:O,ROW()-3))</f>
        <v>5790</v>
      </c>
      <c r="K268" cm="1">
        <f t="array" ref="K268">U267+IF(ROW()-3&lt;2,0,INDEX(P:P,ROW()-3))</f>
        <v>8932</v>
      </c>
      <c r="L268">
        <f>IF(Q268&lt;_xlfn.XLOOKUP(L$1,Capacity!$D$3:$D$7,Capacity!$E$3:$E$7),_xlfn.XLOOKUP(L$1,Capacity!$D$3:$D$7,Capacity!$F$3:$F$7)-Q268,0)</f>
        <v>0</v>
      </c>
      <c r="M268">
        <f>IF(R268&lt;_xlfn.XLOOKUP(M$1,Capacity!$D$3:$D$7,Capacity!$E$3:$E$7),_xlfn.XLOOKUP(M$1,Capacity!$D$3:$D$7,Capacity!$F$3:$F$7)-R268,0)</f>
        <v>0</v>
      </c>
      <c r="N268">
        <f>IF(S268&lt;_xlfn.XLOOKUP(N$1,Capacity!$D$3:$D$7,Capacity!$E$3:$E$7),_xlfn.XLOOKUP(N$1,Capacity!$D$3:$D$7,Capacity!$F$3:$F$7)-S268,0)</f>
        <v>0</v>
      </c>
      <c r="O268">
        <f>IF(T268&lt;_xlfn.XLOOKUP(O$1,Capacity!$D$3:$D$7,Capacity!$E$3:$E$7),_xlfn.XLOOKUP(O$1,Capacity!$D$3:$D$7,Capacity!$F$3:$F$7)-T268,0)</f>
        <v>0</v>
      </c>
      <c r="P268">
        <f>IF(U268&lt;_xlfn.XLOOKUP(P$1,Capacity!$D$3:$D$7,Capacity!$E$3:$E$7),_xlfn.XLOOKUP(P$1,Capacity!$D$3:$D$7,Capacity!$F$3:$F$7)-U268,0)</f>
        <v>0</v>
      </c>
      <c r="Q268">
        <f t="shared" si="25"/>
        <v>2489</v>
      </c>
      <c r="R268">
        <f t="shared" si="26"/>
        <v>16667</v>
      </c>
      <c r="S268">
        <f t="shared" si="27"/>
        <v>3615</v>
      </c>
      <c r="T268">
        <f t="shared" si="28"/>
        <v>5790</v>
      </c>
      <c r="U268">
        <f t="shared" si="29"/>
        <v>8932</v>
      </c>
    </row>
    <row r="269" spans="1:21">
      <c r="A269" s="5">
        <f t="shared" si="30"/>
        <v>46290</v>
      </c>
      <c r="B269">
        <f>SUMIFS('Demand Projection'!$D$2:$D$169,'Demand Projection'!$B$2:$B$169,B$1,'Demand Projection'!$C$2:$C$169,$A269)</f>
        <v>0</v>
      </c>
      <c r="C269">
        <f>SUMIFS('Demand Projection'!$D$2:$D$169,'Demand Projection'!$B$2:$B$169,C$1,'Demand Projection'!$C$2:$C$169,$A269)</f>
        <v>0</v>
      </c>
      <c r="D269">
        <f>SUMIFS('Demand Projection'!$D$2:$D$169,'Demand Projection'!$B$2:$B$169,D$1,'Demand Projection'!$C$2:$C$169,$A269)</f>
        <v>0</v>
      </c>
      <c r="E269">
        <f>SUMIFS('Demand Projection'!$D$2:$D$169,'Demand Projection'!$B$2:$B$169,E$1,'Demand Projection'!$C$2:$C$169,$A269)</f>
        <v>0</v>
      </c>
      <c r="F269">
        <f>SUMIFS('Demand Projection'!$D$2:$D$169,'Demand Projection'!$B$2:$B$169,F$1,'Demand Projection'!$C$2:$C$169,$A269)</f>
        <v>0</v>
      </c>
      <c r="G269" cm="1">
        <f t="array" ref="G269">Q268+IF(ROW()-3&lt;2,0,INDEX(L:L,ROW()-3))</f>
        <v>2489</v>
      </c>
      <c r="H269" cm="1">
        <f t="array" ref="H269">R268+IF(ROW()-3&lt;2,0,INDEX(M:M,ROW()-3))</f>
        <v>16667</v>
      </c>
      <c r="I269" cm="1">
        <f t="array" ref="I269">S268+IF(ROW()-3&lt;2,0,INDEX(N:N,ROW()-3))</f>
        <v>3615</v>
      </c>
      <c r="J269" cm="1">
        <f t="array" ref="J269">T268+IF(ROW()-3&lt;2,0,INDEX(O:O,ROW()-3))</f>
        <v>5790</v>
      </c>
      <c r="K269" cm="1">
        <f t="array" ref="K269">U268+IF(ROW()-3&lt;2,0,INDEX(P:P,ROW()-3))</f>
        <v>8932</v>
      </c>
      <c r="L269">
        <f>IF(Q269&lt;_xlfn.XLOOKUP(L$1,Capacity!$D$3:$D$7,Capacity!$E$3:$E$7),_xlfn.XLOOKUP(L$1,Capacity!$D$3:$D$7,Capacity!$F$3:$F$7)-Q269,0)</f>
        <v>0</v>
      </c>
      <c r="M269">
        <f>IF(R269&lt;_xlfn.XLOOKUP(M$1,Capacity!$D$3:$D$7,Capacity!$E$3:$E$7),_xlfn.XLOOKUP(M$1,Capacity!$D$3:$D$7,Capacity!$F$3:$F$7)-R269,0)</f>
        <v>0</v>
      </c>
      <c r="N269">
        <f>IF(S269&lt;_xlfn.XLOOKUP(N$1,Capacity!$D$3:$D$7,Capacity!$E$3:$E$7),_xlfn.XLOOKUP(N$1,Capacity!$D$3:$D$7,Capacity!$F$3:$F$7)-S269,0)</f>
        <v>0</v>
      </c>
      <c r="O269">
        <f>IF(T269&lt;_xlfn.XLOOKUP(O$1,Capacity!$D$3:$D$7,Capacity!$E$3:$E$7),_xlfn.XLOOKUP(O$1,Capacity!$D$3:$D$7,Capacity!$F$3:$F$7)-T269,0)</f>
        <v>0</v>
      </c>
      <c r="P269">
        <f>IF(U269&lt;_xlfn.XLOOKUP(P$1,Capacity!$D$3:$D$7,Capacity!$E$3:$E$7),_xlfn.XLOOKUP(P$1,Capacity!$D$3:$D$7,Capacity!$F$3:$F$7)-U269,0)</f>
        <v>0</v>
      </c>
      <c r="Q269">
        <f t="shared" si="25"/>
        <v>2489</v>
      </c>
      <c r="R269">
        <f t="shared" si="26"/>
        <v>16667</v>
      </c>
      <c r="S269">
        <f t="shared" si="27"/>
        <v>3615</v>
      </c>
      <c r="T269">
        <f t="shared" si="28"/>
        <v>5790</v>
      </c>
      <c r="U269">
        <f t="shared" si="29"/>
        <v>8932</v>
      </c>
    </row>
    <row r="270" spans="1:21">
      <c r="A270" s="5">
        <f t="shared" si="30"/>
        <v>46291</v>
      </c>
      <c r="B270">
        <f>SUMIFS('Demand Projection'!$D$2:$D$169,'Demand Projection'!$B$2:$B$169,B$1,'Demand Projection'!$C$2:$C$169,$A270)</f>
        <v>0</v>
      </c>
      <c r="C270">
        <f>SUMIFS('Demand Projection'!$D$2:$D$169,'Demand Projection'!$B$2:$B$169,C$1,'Demand Projection'!$C$2:$C$169,$A270)</f>
        <v>0</v>
      </c>
      <c r="D270">
        <f>SUMIFS('Demand Projection'!$D$2:$D$169,'Demand Projection'!$B$2:$B$169,D$1,'Demand Projection'!$C$2:$C$169,$A270)</f>
        <v>0</v>
      </c>
      <c r="E270">
        <f>SUMIFS('Demand Projection'!$D$2:$D$169,'Demand Projection'!$B$2:$B$169,E$1,'Demand Projection'!$C$2:$C$169,$A270)</f>
        <v>0</v>
      </c>
      <c r="F270">
        <f>SUMIFS('Demand Projection'!$D$2:$D$169,'Demand Projection'!$B$2:$B$169,F$1,'Demand Projection'!$C$2:$C$169,$A270)</f>
        <v>0</v>
      </c>
      <c r="G270" cm="1">
        <f t="array" ref="G270">Q269+IF(ROW()-3&lt;2,0,INDEX(L:L,ROW()-3))</f>
        <v>2489</v>
      </c>
      <c r="H270" cm="1">
        <f t="array" ref="H270">R269+IF(ROW()-3&lt;2,0,INDEX(M:M,ROW()-3))</f>
        <v>16667</v>
      </c>
      <c r="I270" cm="1">
        <f t="array" ref="I270">S269+IF(ROW()-3&lt;2,0,INDEX(N:N,ROW()-3))</f>
        <v>3615</v>
      </c>
      <c r="J270" cm="1">
        <f t="array" ref="J270">T269+IF(ROW()-3&lt;2,0,INDEX(O:O,ROW()-3))</f>
        <v>5790</v>
      </c>
      <c r="K270" cm="1">
        <f t="array" ref="K270">U269+IF(ROW()-3&lt;2,0,INDEX(P:P,ROW()-3))</f>
        <v>8932</v>
      </c>
      <c r="L270">
        <f>IF(Q270&lt;_xlfn.XLOOKUP(L$1,Capacity!$D$3:$D$7,Capacity!$E$3:$E$7),_xlfn.XLOOKUP(L$1,Capacity!$D$3:$D$7,Capacity!$F$3:$F$7)-Q270,0)</f>
        <v>0</v>
      </c>
      <c r="M270">
        <f>IF(R270&lt;_xlfn.XLOOKUP(M$1,Capacity!$D$3:$D$7,Capacity!$E$3:$E$7),_xlfn.XLOOKUP(M$1,Capacity!$D$3:$D$7,Capacity!$F$3:$F$7)-R270,0)</f>
        <v>0</v>
      </c>
      <c r="N270">
        <f>IF(S270&lt;_xlfn.XLOOKUP(N$1,Capacity!$D$3:$D$7,Capacity!$E$3:$E$7),_xlfn.XLOOKUP(N$1,Capacity!$D$3:$D$7,Capacity!$F$3:$F$7)-S270,0)</f>
        <v>0</v>
      </c>
      <c r="O270">
        <f>IF(T270&lt;_xlfn.XLOOKUP(O$1,Capacity!$D$3:$D$7,Capacity!$E$3:$E$7),_xlfn.XLOOKUP(O$1,Capacity!$D$3:$D$7,Capacity!$F$3:$F$7)-T270,0)</f>
        <v>0</v>
      </c>
      <c r="P270">
        <f>IF(U270&lt;_xlfn.XLOOKUP(P$1,Capacity!$D$3:$D$7,Capacity!$E$3:$E$7),_xlfn.XLOOKUP(P$1,Capacity!$D$3:$D$7,Capacity!$F$3:$F$7)-U270,0)</f>
        <v>0</v>
      </c>
      <c r="Q270">
        <f t="shared" si="25"/>
        <v>2489</v>
      </c>
      <c r="R270">
        <f t="shared" si="26"/>
        <v>16667</v>
      </c>
      <c r="S270">
        <f t="shared" si="27"/>
        <v>3615</v>
      </c>
      <c r="T270">
        <f t="shared" si="28"/>
        <v>5790</v>
      </c>
      <c r="U270">
        <f t="shared" si="29"/>
        <v>8932</v>
      </c>
    </row>
    <row r="271" spans="1:21">
      <c r="A271" s="5">
        <f t="shared" si="30"/>
        <v>46292</v>
      </c>
      <c r="B271">
        <f>SUMIFS('Demand Projection'!$D$2:$D$169,'Demand Projection'!$B$2:$B$169,B$1,'Demand Projection'!$C$2:$C$169,$A271)</f>
        <v>0</v>
      </c>
      <c r="C271">
        <f>SUMIFS('Demand Projection'!$D$2:$D$169,'Demand Projection'!$B$2:$B$169,C$1,'Demand Projection'!$C$2:$C$169,$A271)</f>
        <v>0</v>
      </c>
      <c r="D271">
        <f>SUMIFS('Demand Projection'!$D$2:$D$169,'Demand Projection'!$B$2:$B$169,D$1,'Demand Projection'!$C$2:$C$169,$A271)</f>
        <v>0</v>
      </c>
      <c r="E271">
        <f>SUMIFS('Demand Projection'!$D$2:$D$169,'Demand Projection'!$B$2:$B$169,E$1,'Demand Projection'!$C$2:$C$169,$A271)</f>
        <v>0</v>
      </c>
      <c r="F271">
        <f>SUMIFS('Demand Projection'!$D$2:$D$169,'Demand Projection'!$B$2:$B$169,F$1,'Demand Projection'!$C$2:$C$169,$A271)</f>
        <v>0</v>
      </c>
      <c r="G271" cm="1">
        <f t="array" ref="G271">Q270+IF(ROW()-3&lt;2,0,INDEX(L:L,ROW()-3))</f>
        <v>2489</v>
      </c>
      <c r="H271" cm="1">
        <f t="array" ref="H271">R270+IF(ROW()-3&lt;2,0,INDEX(M:M,ROW()-3))</f>
        <v>16667</v>
      </c>
      <c r="I271" cm="1">
        <f t="array" ref="I271">S270+IF(ROW()-3&lt;2,0,INDEX(N:N,ROW()-3))</f>
        <v>3615</v>
      </c>
      <c r="J271" cm="1">
        <f t="array" ref="J271">T270+IF(ROW()-3&lt;2,0,INDEX(O:O,ROW()-3))</f>
        <v>5790</v>
      </c>
      <c r="K271" cm="1">
        <f t="array" ref="K271">U270+IF(ROW()-3&lt;2,0,INDEX(P:P,ROW()-3))</f>
        <v>8932</v>
      </c>
      <c r="L271">
        <f>IF(Q271&lt;_xlfn.XLOOKUP(L$1,Capacity!$D$3:$D$7,Capacity!$E$3:$E$7),_xlfn.XLOOKUP(L$1,Capacity!$D$3:$D$7,Capacity!$F$3:$F$7)-Q271,0)</f>
        <v>0</v>
      </c>
      <c r="M271">
        <f>IF(R271&lt;_xlfn.XLOOKUP(M$1,Capacity!$D$3:$D$7,Capacity!$E$3:$E$7),_xlfn.XLOOKUP(M$1,Capacity!$D$3:$D$7,Capacity!$F$3:$F$7)-R271,0)</f>
        <v>0</v>
      </c>
      <c r="N271">
        <f>IF(S271&lt;_xlfn.XLOOKUP(N$1,Capacity!$D$3:$D$7,Capacity!$E$3:$E$7),_xlfn.XLOOKUP(N$1,Capacity!$D$3:$D$7,Capacity!$F$3:$F$7)-S271,0)</f>
        <v>0</v>
      </c>
      <c r="O271">
        <f>IF(T271&lt;_xlfn.XLOOKUP(O$1,Capacity!$D$3:$D$7,Capacity!$E$3:$E$7),_xlfn.XLOOKUP(O$1,Capacity!$D$3:$D$7,Capacity!$F$3:$F$7)-T271,0)</f>
        <v>0</v>
      </c>
      <c r="P271">
        <f>IF(U271&lt;_xlfn.XLOOKUP(P$1,Capacity!$D$3:$D$7,Capacity!$E$3:$E$7),_xlfn.XLOOKUP(P$1,Capacity!$D$3:$D$7,Capacity!$F$3:$F$7)-U271,0)</f>
        <v>0</v>
      </c>
      <c r="Q271">
        <f t="shared" si="25"/>
        <v>2489</v>
      </c>
      <c r="R271">
        <f t="shared" si="26"/>
        <v>16667</v>
      </c>
      <c r="S271">
        <f t="shared" si="27"/>
        <v>3615</v>
      </c>
      <c r="T271">
        <f t="shared" si="28"/>
        <v>5790</v>
      </c>
      <c r="U271">
        <f t="shared" si="29"/>
        <v>8932</v>
      </c>
    </row>
    <row r="272" spans="1:21">
      <c r="A272" s="5">
        <f t="shared" si="30"/>
        <v>46293</v>
      </c>
      <c r="B272">
        <f>SUMIFS('Demand Projection'!$D$2:$D$169,'Demand Projection'!$B$2:$B$169,B$1,'Demand Projection'!$C$2:$C$169,$A272)</f>
        <v>0</v>
      </c>
      <c r="C272">
        <f>SUMIFS('Demand Projection'!$D$2:$D$169,'Demand Projection'!$B$2:$B$169,C$1,'Demand Projection'!$C$2:$C$169,$A272)</f>
        <v>0</v>
      </c>
      <c r="D272">
        <f>SUMIFS('Demand Projection'!$D$2:$D$169,'Demand Projection'!$B$2:$B$169,D$1,'Demand Projection'!$C$2:$C$169,$A272)</f>
        <v>0</v>
      </c>
      <c r="E272">
        <f>SUMIFS('Demand Projection'!$D$2:$D$169,'Demand Projection'!$B$2:$B$169,E$1,'Demand Projection'!$C$2:$C$169,$A272)</f>
        <v>3130</v>
      </c>
      <c r="F272">
        <f>SUMIFS('Demand Projection'!$D$2:$D$169,'Demand Projection'!$B$2:$B$169,F$1,'Demand Projection'!$C$2:$C$169,$A272)</f>
        <v>2088</v>
      </c>
      <c r="G272" cm="1">
        <f t="array" ref="G272">Q271+IF(ROW()-3&lt;2,0,INDEX(L:L,ROW()-3))</f>
        <v>2489</v>
      </c>
      <c r="H272" cm="1">
        <f t="array" ref="H272">R271+IF(ROW()-3&lt;2,0,INDEX(M:M,ROW()-3))</f>
        <v>16667</v>
      </c>
      <c r="I272" cm="1">
        <f t="array" ref="I272">S271+IF(ROW()-3&lt;2,0,INDEX(N:N,ROW()-3))</f>
        <v>3615</v>
      </c>
      <c r="J272" cm="1">
        <f t="array" ref="J272">T271+IF(ROW()-3&lt;2,0,INDEX(O:O,ROW()-3))</f>
        <v>5790</v>
      </c>
      <c r="K272" cm="1">
        <f t="array" ref="K272">U271+IF(ROW()-3&lt;2,0,INDEX(P:P,ROW()-3))</f>
        <v>8932</v>
      </c>
      <c r="L272">
        <f>IF(Q272&lt;_xlfn.XLOOKUP(L$1,Capacity!$D$3:$D$7,Capacity!$E$3:$E$7),_xlfn.XLOOKUP(L$1,Capacity!$D$3:$D$7,Capacity!$F$3:$F$7)-Q272,0)</f>
        <v>0</v>
      </c>
      <c r="M272">
        <f>IF(R272&lt;_xlfn.XLOOKUP(M$1,Capacity!$D$3:$D$7,Capacity!$E$3:$E$7),_xlfn.XLOOKUP(M$1,Capacity!$D$3:$D$7,Capacity!$F$3:$F$7)-R272,0)</f>
        <v>0</v>
      </c>
      <c r="N272">
        <f>IF(S272&lt;_xlfn.XLOOKUP(N$1,Capacity!$D$3:$D$7,Capacity!$E$3:$E$7),_xlfn.XLOOKUP(N$1,Capacity!$D$3:$D$7,Capacity!$F$3:$F$7)-S272,0)</f>
        <v>0</v>
      </c>
      <c r="O272">
        <f>IF(T272&lt;_xlfn.XLOOKUP(O$1,Capacity!$D$3:$D$7,Capacity!$E$3:$E$7),_xlfn.XLOOKUP(O$1,Capacity!$D$3:$D$7,Capacity!$F$3:$F$7)-T272,0)</f>
        <v>0</v>
      </c>
      <c r="P272">
        <f>IF(U272&lt;_xlfn.XLOOKUP(P$1,Capacity!$D$3:$D$7,Capacity!$E$3:$E$7),_xlfn.XLOOKUP(P$1,Capacity!$D$3:$D$7,Capacity!$F$3:$F$7)-U272,0)</f>
        <v>0</v>
      </c>
      <c r="Q272">
        <f t="shared" si="25"/>
        <v>2489</v>
      </c>
      <c r="R272">
        <f t="shared" si="26"/>
        <v>16667</v>
      </c>
      <c r="S272">
        <f t="shared" si="27"/>
        <v>3615</v>
      </c>
      <c r="T272">
        <f t="shared" si="28"/>
        <v>2660</v>
      </c>
      <c r="U272">
        <f t="shared" si="29"/>
        <v>6844</v>
      </c>
    </row>
    <row r="273" spans="1:21">
      <c r="A273" s="5">
        <f t="shared" si="30"/>
        <v>46294</v>
      </c>
      <c r="B273">
        <f>SUMIFS('Demand Projection'!$D$2:$D$169,'Demand Projection'!$B$2:$B$169,B$1,'Demand Projection'!$C$2:$C$169,$A273)</f>
        <v>0</v>
      </c>
      <c r="C273">
        <f>SUMIFS('Demand Projection'!$D$2:$D$169,'Demand Projection'!$B$2:$B$169,C$1,'Demand Projection'!$C$2:$C$169,$A273)</f>
        <v>0</v>
      </c>
      <c r="D273">
        <f>SUMIFS('Demand Projection'!$D$2:$D$169,'Demand Projection'!$B$2:$B$169,D$1,'Demand Projection'!$C$2:$C$169,$A273)</f>
        <v>0</v>
      </c>
      <c r="E273">
        <f>SUMIFS('Demand Projection'!$D$2:$D$169,'Demand Projection'!$B$2:$B$169,E$1,'Demand Projection'!$C$2:$C$169,$A273)</f>
        <v>0</v>
      </c>
      <c r="F273">
        <f>SUMIFS('Demand Projection'!$D$2:$D$169,'Demand Projection'!$B$2:$B$169,F$1,'Demand Projection'!$C$2:$C$169,$A273)</f>
        <v>0</v>
      </c>
      <c r="G273" cm="1">
        <f t="array" ref="G273">Q272+IF(ROW()-3&lt;2,0,INDEX(L:L,ROW()-3))</f>
        <v>2489</v>
      </c>
      <c r="H273" cm="1">
        <f t="array" ref="H273">R272+IF(ROW()-3&lt;2,0,INDEX(M:M,ROW()-3))</f>
        <v>16667</v>
      </c>
      <c r="I273" cm="1">
        <f t="array" ref="I273">S272+IF(ROW()-3&lt;2,0,INDEX(N:N,ROW()-3))</f>
        <v>3615</v>
      </c>
      <c r="J273" cm="1">
        <f t="array" ref="J273">T272+IF(ROW()-3&lt;2,0,INDEX(O:O,ROW()-3))</f>
        <v>2660</v>
      </c>
      <c r="K273" cm="1">
        <f t="array" ref="K273">U272+IF(ROW()-3&lt;2,0,INDEX(P:P,ROW()-3))</f>
        <v>6844</v>
      </c>
      <c r="L273">
        <f>IF(Q273&lt;_xlfn.XLOOKUP(L$1,Capacity!$D$3:$D$7,Capacity!$E$3:$E$7),_xlfn.XLOOKUP(L$1,Capacity!$D$3:$D$7,Capacity!$F$3:$F$7)-Q273,0)</f>
        <v>0</v>
      </c>
      <c r="M273">
        <f>IF(R273&lt;_xlfn.XLOOKUP(M$1,Capacity!$D$3:$D$7,Capacity!$E$3:$E$7),_xlfn.XLOOKUP(M$1,Capacity!$D$3:$D$7,Capacity!$F$3:$F$7)-R273,0)</f>
        <v>0</v>
      </c>
      <c r="N273">
        <f>IF(S273&lt;_xlfn.XLOOKUP(N$1,Capacity!$D$3:$D$7,Capacity!$E$3:$E$7),_xlfn.XLOOKUP(N$1,Capacity!$D$3:$D$7,Capacity!$F$3:$F$7)-S273,0)</f>
        <v>0</v>
      </c>
      <c r="O273">
        <f>IF(T273&lt;_xlfn.XLOOKUP(O$1,Capacity!$D$3:$D$7,Capacity!$E$3:$E$7),_xlfn.XLOOKUP(O$1,Capacity!$D$3:$D$7,Capacity!$F$3:$F$7)-T273,0)</f>
        <v>0</v>
      </c>
      <c r="P273">
        <f>IF(U273&lt;_xlfn.XLOOKUP(P$1,Capacity!$D$3:$D$7,Capacity!$E$3:$E$7),_xlfn.XLOOKUP(P$1,Capacity!$D$3:$D$7,Capacity!$F$3:$F$7)-U273,0)</f>
        <v>0</v>
      </c>
      <c r="Q273">
        <f t="shared" si="25"/>
        <v>2489</v>
      </c>
      <c r="R273">
        <f t="shared" si="26"/>
        <v>16667</v>
      </c>
      <c r="S273">
        <f t="shared" si="27"/>
        <v>3615</v>
      </c>
      <c r="T273">
        <f t="shared" si="28"/>
        <v>2660</v>
      </c>
      <c r="U273">
        <f t="shared" si="29"/>
        <v>6844</v>
      </c>
    </row>
    <row r="274" spans="1:21">
      <c r="A274" s="5">
        <f t="shared" si="30"/>
        <v>46295</v>
      </c>
      <c r="B274">
        <f>SUMIFS('Demand Projection'!$D$2:$D$169,'Demand Projection'!$B$2:$B$169,B$1,'Demand Projection'!$C$2:$C$169,$A274)</f>
        <v>0</v>
      </c>
      <c r="C274">
        <f>SUMIFS('Demand Projection'!$D$2:$D$169,'Demand Projection'!$B$2:$B$169,C$1,'Demand Projection'!$C$2:$C$169,$A274)</f>
        <v>0</v>
      </c>
      <c r="D274">
        <f>SUMIFS('Demand Projection'!$D$2:$D$169,'Demand Projection'!$B$2:$B$169,D$1,'Demand Projection'!$C$2:$C$169,$A274)</f>
        <v>0</v>
      </c>
      <c r="E274">
        <f>SUMIFS('Demand Projection'!$D$2:$D$169,'Demand Projection'!$B$2:$B$169,E$1,'Demand Projection'!$C$2:$C$169,$A274)</f>
        <v>0</v>
      </c>
      <c r="F274">
        <f>SUMIFS('Demand Projection'!$D$2:$D$169,'Demand Projection'!$B$2:$B$169,F$1,'Demand Projection'!$C$2:$C$169,$A274)</f>
        <v>0</v>
      </c>
      <c r="G274" cm="1">
        <f t="array" ref="G274">Q273+IF(ROW()-3&lt;2,0,INDEX(L:L,ROW()-3))</f>
        <v>2489</v>
      </c>
      <c r="H274" cm="1">
        <f t="array" ref="H274">R273+IF(ROW()-3&lt;2,0,INDEX(M:M,ROW()-3))</f>
        <v>16667</v>
      </c>
      <c r="I274" cm="1">
        <f t="array" ref="I274">S273+IF(ROW()-3&lt;2,0,INDEX(N:N,ROW()-3))</f>
        <v>3615</v>
      </c>
      <c r="J274" cm="1">
        <f t="array" ref="J274">T273+IF(ROW()-3&lt;2,0,INDEX(O:O,ROW()-3))</f>
        <v>2660</v>
      </c>
      <c r="K274" cm="1">
        <f t="array" ref="K274">U273+IF(ROW()-3&lt;2,0,INDEX(P:P,ROW()-3))</f>
        <v>6844</v>
      </c>
      <c r="L274">
        <f>IF(Q274&lt;_xlfn.XLOOKUP(L$1,Capacity!$D$3:$D$7,Capacity!$E$3:$E$7),_xlfn.XLOOKUP(L$1,Capacity!$D$3:$D$7,Capacity!$F$3:$F$7)-Q274,0)</f>
        <v>0</v>
      </c>
      <c r="M274">
        <f>IF(R274&lt;_xlfn.XLOOKUP(M$1,Capacity!$D$3:$D$7,Capacity!$E$3:$E$7),_xlfn.XLOOKUP(M$1,Capacity!$D$3:$D$7,Capacity!$F$3:$F$7)-R274,0)</f>
        <v>0</v>
      </c>
      <c r="N274">
        <f>IF(S274&lt;_xlfn.XLOOKUP(N$1,Capacity!$D$3:$D$7,Capacity!$E$3:$E$7),_xlfn.XLOOKUP(N$1,Capacity!$D$3:$D$7,Capacity!$F$3:$F$7)-S274,0)</f>
        <v>0</v>
      </c>
      <c r="O274">
        <f>IF(T274&lt;_xlfn.XLOOKUP(O$1,Capacity!$D$3:$D$7,Capacity!$E$3:$E$7),_xlfn.XLOOKUP(O$1,Capacity!$D$3:$D$7,Capacity!$F$3:$F$7)-T274,0)</f>
        <v>0</v>
      </c>
      <c r="P274">
        <f>IF(U274&lt;_xlfn.XLOOKUP(P$1,Capacity!$D$3:$D$7,Capacity!$E$3:$E$7),_xlfn.XLOOKUP(P$1,Capacity!$D$3:$D$7,Capacity!$F$3:$F$7)-U274,0)</f>
        <v>0</v>
      </c>
      <c r="Q274">
        <f t="shared" si="25"/>
        <v>2489</v>
      </c>
      <c r="R274">
        <f t="shared" si="26"/>
        <v>16667</v>
      </c>
      <c r="S274">
        <f t="shared" si="27"/>
        <v>3615</v>
      </c>
      <c r="T274">
        <f t="shared" si="28"/>
        <v>2660</v>
      </c>
      <c r="U274">
        <f t="shared" si="29"/>
        <v>6844</v>
      </c>
    </row>
    <row r="275" spans="1:21">
      <c r="A275" s="5">
        <f t="shared" si="30"/>
        <v>46296</v>
      </c>
      <c r="B275">
        <f>SUMIFS('Demand Projection'!$D$2:$D$169,'Demand Projection'!$B$2:$B$169,B$1,'Demand Projection'!$C$2:$C$169,$A275)</f>
        <v>0</v>
      </c>
      <c r="C275">
        <f>SUMIFS('Demand Projection'!$D$2:$D$169,'Demand Projection'!$B$2:$B$169,C$1,'Demand Projection'!$C$2:$C$169,$A275)</f>
        <v>0</v>
      </c>
      <c r="D275">
        <f>SUMIFS('Demand Projection'!$D$2:$D$169,'Demand Projection'!$B$2:$B$169,D$1,'Demand Projection'!$C$2:$C$169,$A275)</f>
        <v>0</v>
      </c>
      <c r="E275">
        <f>SUMIFS('Demand Projection'!$D$2:$D$169,'Demand Projection'!$B$2:$B$169,E$1,'Demand Projection'!$C$2:$C$169,$A275)</f>
        <v>0</v>
      </c>
      <c r="F275">
        <f>SUMIFS('Demand Projection'!$D$2:$D$169,'Demand Projection'!$B$2:$B$169,F$1,'Demand Projection'!$C$2:$C$169,$A275)</f>
        <v>0</v>
      </c>
      <c r="G275" cm="1">
        <f t="array" ref="G275">Q274+IF(ROW()-3&lt;2,0,INDEX(L:L,ROW()-3))</f>
        <v>2489</v>
      </c>
      <c r="H275" cm="1">
        <f t="array" ref="H275">R274+IF(ROW()-3&lt;2,0,INDEX(M:M,ROW()-3))</f>
        <v>16667</v>
      </c>
      <c r="I275" cm="1">
        <f t="array" ref="I275">S274+IF(ROW()-3&lt;2,0,INDEX(N:N,ROW()-3))</f>
        <v>3615</v>
      </c>
      <c r="J275" cm="1">
        <f t="array" ref="J275">T274+IF(ROW()-3&lt;2,0,INDEX(O:O,ROW()-3))</f>
        <v>2660</v>
      </c>
      <c r="K275" cm="1">
        <f t="array" ref="K275">U274+IF(ROW()-3&lt;2,0,INDEX(P:P,ROW()-3))</f>
        <v>6844</v>
      </c>
      <c r="L275">
        <f>IF(Q275&lt;_xlfn.XLOOKUP(L$1,Capacity!$D$3:$D$7,Capacity!$E$3:$E$7),_xlfn.XLOOKUP(L$1,Capacity!$D$3:$D$7,Capacity!$F$3:$F$7)-Q275,0)</f>
        <v>0</v>
      </c>
      <c r="M275">
        <f>IF(R275&lt;_xlfn.XLOOKUP(M$1,Capacity!$D$3:$D$7,Capacity!$E$3:$E$7),_xlfn.XLOOKUP(M$1,Capacity!$D$3:$D$7,Capacity!$F$3:$F$7)-R275,0)</f>
        <v>0</v>
      </c>
      <c r="N275">
        <f>IF(S275&lt;_xlfn.XLOOKUP(N$1,Capacity!$D$3:$D$7,Capacity!$E$3:$E$7),_xlfn.XLOOKUP(N$1,Capacity!$D$3:$D$7,Capacity!$F$3:$F$7)-S275,0)</f>
        <v>0</v>
      </c>
      <c r="O275">
        <f>IF(T275&lt;_xlfn.XLOOKUP(O$1,Capacity!$D$3:$D$7,Capacity!$E$3:$E$7),_xlfn.XLOOKUP(O$1,Capacity!$D$3:$D$7,Capacity!$F$3:$F$7)-T275,0)</f>
        <v>0</v>
      </c>
      <c r="P275">
        <f>IF(U275&lt;_xlfn.XLOOKUP(P$1,Capacity!$D$3:$D$7,Capacity!$E$3:$E$7),_xlfn.XLOOKUP(P$1,Capacity!$D$3:$D$7,Capacity!$F$3:$F$7)-U275,0)</f>
        <v>0</v>
      </c>
      <c r="Q275">
        <f t="shared" si="25"/>
        <v>2489</v>
      </c>
      <c r="R275">
        <f t="shared" si="26"/>
        <v>16667</v>
      </c>
      <c r="S275">
        <f t="shared" si="27"/>
        <v>3615</v>
      </c>
      <c r="T275">
        <f t="shared" si="28"/>
        <v>2660</v>
      </c>
      <c r="U275">
        <f t="shared" si="29"/>
        <v>6844</v>
      </c>
    </row>
    <row r="276" spans="1:21">
      <c r="A276" s="5">
        <f t="shared" si="30"/>
        <v>46297</v>
      </c>
      <c r="B276">
        <f>SUMIFS('Demand Projection'!$D$2:$D$169,'Demand Projection'!$B$2:$B$169,B$1,'Demand Projection'!$C$2:$C$169,$A276)</f>
        <v>0</v>
      </c>
      <c r="C276">
        <f>SUMIFS('Demand Projection'!$D$2:$D$169,'Demand Projection'!$B$2:$B$169,C$1,'Demand Projection'!$C$2:$C$169,$A276)</f>
        <v>0</v>
      </c>
      <c r="D276">
        <f>SUMIFS('Demand Projection'!$D$2:$D$169,'Demand Projection'!$B$2:$B$169,D$1,'Demand Projection'!$C$2:$C$169,$A276)</f>
        <v>0</v>
      </c>
      <c r="E276">
        <f>SUMIFS('Demand Projection'!$D$2:$D$169,'Demand Projection'!$B$2:$B$169,E$1,'Demand Projection'!$C$2:$C$169,$A276)</f>
        <v>0</v>
      </c>
      <c r="F276">
        <f>SUMIFS('Demand Projection'!$D$2:$D$169,'Demand Projection'!$B$2:$B$169,F$1,'Demand Projection'!$C$2:$C$169,$A276)</f>
        <v>0</v>
      </c>
      <c r="G276" cm="1">
        <f t="array" ref="G276">Q275+IF(ROW()-3&lt;2,0,INDEX(L:L,ROW()-3))</f>
        <v>2489</v>
      </c>
      <c r="H276" cm="1">
        <f t="array" ref="H276">R275+IF(ROW()-3&lt;2,0,INDEX(M:M,ROW()-3))</f>
        <v>16667</v>
      </c>
      <c r="I276" cm="1">
        <f t="array" ref="I276">S275+IF(ROW()-3&lt;2,0,INDEX(N:N,ROW()-3))</f>
        <v>3615</v>
      </c>
      <c r="J276" cm="1">
        <f t="array" ref="J276">T275+IF(ROW()-3&lt;2,0,INDEX(O:O,ROW()-3))</f>
        <v>2660</v>
      </c>
      <c r="K276" cm="1">
        <f t="array" ref="K276">U275+IF(ROW()-3&lt;2,0,INDEX(P:P,ROW()-3))</f>
        <v>6844</v>
      </c>
      <c r="L276">
        <f>IF(Q276&lt;_xlfn.XLOOKUP(L$1,Capacity!$D$3:$D$7,Capacity!$E$3:$E$7),_xlfn.XLOOKUP(L$1,Capacity!$D$3:$D$7,Capacity!$F$3:$F$7)-Q276,0)</f>
        <v>0</v>
      </c>
      <c r="M276">
        <f>IF(R276&lt;_xlfn.XLOOKUP(M$1,Capacity!$D$3:$D$7,Capacity!$E$3:$E$7),_xlfn.XLOOKUP(M$1,Capacity!$D$3:$D$7,Capacity!$F$3:$F$7)-R276,0)</f>
        <v>0</v>
      </c>
      <c r="N276">
        <f>IF(S276&lt;_xlfn.XLOOKUP(N$1,Capacity!$D$3:$D$7,Capacity!$E$3:$E$7),_xlfn.XLOOKUP(N$1,Capacity!$D$3:$D$7,Capacity!$F$3:$F$7)-S276,0)</f>
        <v>0</v>
      </c>
      <c r="O276">
        <f>IF(T276&lt;_xlfn.XLOOKUP(O$1,Capacity!$D$3:$D$7,Capacity!$E$3:$E$7),_xlfn.XLOOKUP(O$1,Capacity!$D$3:$D$7,Capacity!$F$3:$F$7)-T276,0)</f>
        <v>0</v>
      </c>
      <c r="P276">
        <f>IF(U276&lt;_xlfn.XLOOKUP(P$1,Capacity!$D$3:$D$7,Capacity!$E$3:$E$7),_xlfn.XLOOKUP(P$1,Capacity!$D$3:$D$7,Capacity!$F$3:$F$7)-U276,0)</f>
        <v>0</v>
      </c>
      <c r="Q276">
        <f t="shared" si="25"/>
        <v>2489</v>
      </c>
      <c r="R276">
        <f t="shared" si="26"/>
        <v>16667</v>
      </c>
      <c r="S276">
        <f t="shared" si="27"/>
        <v>3615</v>
      </c>
      <c r="T276">
        <f t="shared" si="28"/>
        <v>2660</v>
      </c>
      <c r="U276">
        <f t="shared" si="29"/>
        <v>6844</v>
      </c>
    </row>
    <row r="277" spans="1:21">
      <c r="A277" s="5">
        <f t="shared" si="30"/>
        <v>46298</v>
      </c>
      <c r="B277">
        <f>SUMIFS('Demand Projection'!$D$2:$D$169,'Demand Projection'!$B$2:$B$169,B$1,'Demand Projection'!$C$2:$C$169,$A277)</f>
        <v>714</v>
      </c>
      <c r="C277">
        <f>SUMIFS('Demand Projection'!$D$2:$D$169,'Demand Projection'!$B$2:$B$169,C$1,'Demand Projection'!$C$2:$C$169,$A277)</f>
        <v>4274</v>
      </c>
      <c r="D277">
        <f>SUMIFS('Demand Projection'!$D$2:$D$169,'Demand Projection'!$B$2:$B$169,D$1,'Demand Projection'!$C$2:$C$169,$A277)</f>
        <v>0</v>
      </c>
      <c r="E277">
        <f>SUMIFS('Demand Projection'!$D$2:$D$169,'Demand Projection'!$B$2:$B$169,E$1,'Demand Projection'!$C$2:$C$169,$A277)</f>
        <v>0</v>
      </c>
      <c r="F277">
        <f>SUMIFS('Demand Projection'!$D$2:$D$169,'Demand Projection'!$B$2:$B$169,F$1,'Demand Projection'!$C$2:$C$169,$A277)</f>
        <v>0</v>
      </c>
      <c r="G277" cm="1">
        <f t="array" ref="G277">Q276+IF(ROW()-3&lt;2,0,INDEX(L:L,ROW()-3))</f>
        <v>2489</v>
      </c>
      <c r="H277" cm="1">
        <f t="array" ref="H277">R276+IF(ROW()-3&lt;2,0,INDEX(M:M,ROW()-3))</f>
        <v>16667</v>
      </c>
      <c r="I277" cm="1">
        <f t="array" ref="I277">S276+IF(ROW()-3&lt;2,0,INDEX(N:N,ROW()-3))</f>
        <v>3615</v>
      </c>
      <c r="J277" cm="1">
        <f t="array" ref="J277">T276+IF(ROW()-3&lt;2,0,INDEX(O:O,ROW()-3))</f>
        <v>2660</v>
      </c>
      <c r="K277" cm="1">
        <f t="array" ref="K277">U276+IF(ROW()-3&lt;2,0,INDEX(P:P,ROW()-3))</f>
        <v>6844</v>
      </c>
      <c r="L277">
        <f>IF(Q277&lt;_xlfn.XLOOKUP(L$1,Capacity!$D$3:$D$7,Capacity!$E$3:$E$7),_xlfn.XLOOKUP(L$1,Capacity!$D$3:$D$7,Capacity!$F$3:$F$7)-Q277,0)</f>
        <v>0</v>
      </c>
      <c r="M277">
        <f>IF(R277&lt;_xlfn.XLOOKUP(M$1,Capacity!$D$3:$D$7,Capacity!$E$3:$E$7),_xlfn.XLOOKUP(M$1,Capacity!$D$3:$D$7,Capacity!$F$3:$F$7)-R277,0)</f>
        <v>0</v>
      </c>
      <c r="N277">
        <f>IF(S277&lt;_xlfn.XLOOKUP(N$1,Capacity!$D$3:$D$7,Capacity!$E$3:$E$7),_xlfn.XLOOKUP(N$1,Capacity!$D$3:$D$7,Capacity!$F$3:$F$7)-S277,0)</f>
        <v>0</v>
      </c>
      <c r="O277">
        <f>IF(T277&lt;_xlfn.XLOOKUP(O$1,Capacity!$D$3:$D$7,Capacity!$E$3:$E$7),_xlfn.XLOOKUP(O$1,Capacity!$D$3:$D$7,Capacity!$F$3:$F$7)-T277,0)</f>
        <v>0</v>
      </c>
      <c r="P277">
        <f>IF(U277&lt;_xlfn.XLOOKUP(P$1,Capacity!$D$3:$D$7,Capacity!$E$3:$E$7),_xlfn.XLOOKUP(P$1,Capacity!$D$3:$D$7,Capacity!$F$3:$F$7)-U277,0)</f>
        <v>0</v>
      </c>
      <c r="Q277">
        <f t="shared" si="25"/>
        <v>1775</v>
      </c>
      <c r="R277">
        <f t="shared" si="26"/>
        <v>12393</v>
      </c>
      <c r="S277">
        <f t="shared" si="27"/>
        <v>3615</v>
      </c>
      <c r="T277">
        <f t="shared" si="28"/>
        <v>2660</v>
      </c>
      <c r="U277">
        <f t="shared" si="29"/>
        <v>6844</v>
      </c>
    </row>
    <row r="278" spans="1:21">
      <c r="A278" s="5">
        <f t="shared" si="30"/>
        <v>46299</v>
      </c>
      <c r="B278">
        <f>SUMIFS('Demand Projection'!$D$2:$D$169,'Demand Projection'!$B$2:$B$169,B$1,'Demand Projection'!$C$2:$C$169,$A278)</f>
        <v>287</v>
      </c>
      <c r="C278">
        <f>SUMIFS('Demand Projection'!$D$2:$D$169,'Demand Projection'!$B$2:$B$169,C$1,'Demand Projection'!$C$2:$C$169,$A278)</f>
        <v>0</v>
      </c>
      <c r="D278">
        <f>SUMIFS('Demand Projection'!$D$2:$D$169,'Demand Projection'!$B$2:$B$169,D$1,'Demand Projection'!$C$2:$C$169,$A278)</f>
        <v>0</v>
      </c>
      <c r="E278">
        <f>SUMIFS('Demand Projection'!$D$2:$D$169,'Demand Projection'!$B$2:$B$169,E$1,'Demand Projection'!$C$2:$C$169,$A278)</f>
        <v>0</v>
      </c>
      <c r="F278">
        <f>SUMIFS('Demand Projection'!$D$2:$D$169,'Demand Projection'!$B$2:$B$169,F$1,'Demand Projection'!$C$2:$C$169,$A278)</f>
        <v>0</v>
      </c>
      <c r="G278" cm="1">
        <f t="array" ref="G278">Q277+IF(ROW()-3&lt;2,0,INDEX(L:L,ROW()-3))</f>
        <v>1775</v>
      </c>
      <c r="H278" cm="1">
        <f t="array" ref="H278">R277+IF(ROW()-3&lt;2,0,INDEX(M:M,ROW()-3))</f>
        <v>12393</v>
      </c>
      <c r="I278" cm="1">
        <f t="array" ref="I278">S277+IF(ROW()-3&lt;2,0,INDEX(N:N,ROW()-3))</f>
        <v>3615</v>
      </c>
      <c r="J278" cm="1">
        <f t="array" ref="J278">T277+IF(ROW()-3&lt;2,0,INDEX(O:O,ROW()-3))</f>
        <v>2660</v>
      </c>
      <c r="K278" cm="1">
        <f t="array" ref="K278">U277+IF(ROW()-3&lt;2,0,INDEX(P:P,ROW()-3))</f>
        <v>6844</v>
      </c>
      <c r="L278">
        <f>IF(Q278&lt;_xlfn.XLOOKUP(L$1,Capacity!$D$3:$D$7,Capacity!$E$3:$E$7),_xlfn.XLOOKUP(L$1,Capacity!$D$3:$D$7,Capacity!$F$3:$F$7)-Q278,0)</f>
        <v>0</v>
      </c>
      <c r="M278">
        <f>IF(R278&lt;_xlfn.XLOOKUP(M$1,Capacity!$D$3:$D$7,Capacity!$E$3:$E$7),_xlfn.XLOOKUP(M$1,Capacity!$D$3:$D$7,Capacity!$F$3:$F$7)-R278,0)</f>
        <v>0</v>
      </c>
      <c r="N278">
        <f>IF(S278&lt;_xlfn.XLOOKUP(N$1,Capacity!$D$3:$D$7,Capacity!$E$3:$E$7),_xlfn.XLOOKUP(N$1,Capacity!$D$3:$D$7,Capacity!$F$3:$F$7)-S278,0)</f>
        <v>0</v>
      </c>
      <c r="O278">
        <f>IF(T278&lt;_xlfn.XLOOKUP(O$1,Capacity!$D$3:$D$7,Capacity!$E$3:$E$7),_xlfn.XLOOKUP(O$1,Capacity!$D$3:$D$7,Capacity!$F$3:$F$7)-T278,0)</f>
        <v>0</v>
      </c>
      <c r="P278">
        <f>IF(U278&lt;_xlfn.XLOOKUP(P$1,Capacity!$D$3:$D$7,Capacity!$E$3:$E$7),_xlfn.XLOOKUP(P$1,Capacity!$D$3:$D$7,Capacity!$F$3:$F$7)-U278,0)</f>
        <v>0</v>
      </c>
      <c r="Q278">
        <f t="shared" si="25"/>
        <v>1488</v>
      </c>
      <c r="R278">
        <f t="shared" si="26"/>
        <v>12393</v>
      </c>
      <c r="S278">
        <f t="shared" si="27"/>
        <v>3615</v>
      </c>
      <c r="T278">
        <f t="shared" si="28"/>
        <v>2660</v>
      </c>
      <c r="U278">
        <f t="shared" si="29"/>
        <v>6844</v>
      </c>
    </row>
    <row r="279" spans="1:21">
      <c r="A279" s="5">
        <f t="shared" si="30"/>
        <v>46300</v>
      </c>
      <c r="B279">
        <f>SUMIFS('Demand Projection'!$D$2:$D$169,'Demand Projection'!$B$2:$B$169,B$1,'Demand Projection'!$C$2:$C$169,$A279)</f>
        <v>0</v>
      </c>
      <c r="C279">
        <f>SUMIFS('Demand Projection'!$D$2:$D$169,'Demand Projection'!$B$2:$B$169,C$1,'Demand Projection'!$C$2:$C$169,$A279)</f>
        <v>0</v>
      </c>
      <c r="D279">
        <f>SUMIFS('Demand Projection'!$D$2:$D$169,'Demand Projection'!$B$2:$B$169,D$1,'Demand Projection'!$C$2:$C$169,$A279)</f>
        <v>643</v>
      </c>
      <c r="E279">
        <f>SUMIFS('Demand Projection'!$D$2:$D$169,'Demand Projection'!$B$2:$B$169,E$1,'Demand Projection'!$C$2:$C$169,$A279)</f>
        <v>0</v>
      </c>
      <c r="F279">
        <f>SUMIFS('Demand Projection'!$D$2:$D$169,'Demand Projection'!$B$2:$B$169,F$1,'Demand Projection'!$C$2:$C$169,$A279)</f>
        <v>0</v>
      </c>
      <c r="G279" cm="1">
        <f t="array" ref="G279">Q278+IF(ROW()-3&lt;2,0,INDEX(L:L,ROW()-3))</f>
        <v>1488</v>
      </c>
      <c r="H279" cm="1">
        <f t="array" ref="H279">R278+IF(ROW()-3&lt;2,0,INDEX(M:M,ROW()-3))</f>
        <v>12393</v>
      </c>
      <c r="I279" cm="1">
        <f t="array" ref="I279">S278+IF(ROW()-3&lt;2,0,INDEX(N:N,ROW()-3))</f>
        <v>3615</v>
      </c>
      <c r="J279" cm="1">
        <f t="array" ref="J279">T278+IF(ROW()-3&lt;2,0,INDEX(O:O,ROW()-3))</f>
        <v>2660</v>
      </c>
      <c r="K279" cm="1">
        <f t="array" ref="K279">U278+IF(ROW()-3&lt;2,0,INDEX(P:P,ROW()-3))</f>
        <v>6844</v>
      </c>
      <c r="L279">
        <f>IF(Q279&lt;_xlfn.XLOOKUP(L$1,Capacity!$D$3:$D$7,Capacity!$E$3:$E$7),_xlfn.XLOOKUP(L$1,Capacity!$D$3:$D$7,Capacity!$F$3:$F$7)-Q279,0)</f>
        <v>0</v>
      </c>
      <c r="M279">
        <f>IF(R279&lt;_xlfn.XLOOKUP(M$1,Capacity!$D$3:$D$7,Capacity!$E$3:$E$7),_xlfn.XLOOKUP(M$1,Capacity!$D$3:$D$7,Capacity!$F$3:$F$7)-R279,0)</f>
        <v>0</v>
      </c>
      <c r="N279">
        <f>IF(S279&lt;_xlfn.XLOOKUP(N$1,Capacity!$D$3:$D$7,Capacity!$E$3:$E$7),_xlfn.XLOOKUP(N$1,Capacity!$D$3:$D$7,Capacity!$F$3:$F$7)-S279,0)</f>
        <v>0</v>
      </c>
      <c r="O279">
        <f>IF(T279&lt;_xlfn.XLOOKUP(O$1,Capacity!$D$3:$D$7,Capacity!$E$3:$E$7),_xlfn.XLOOKUP(O$1,Capacity!$D$3:$D$7,Capacity!$F$3:$F$7)-T279,0)</f>
        <v>0</v>
      </c>
      <c r="P279">
        <f>IF(U279&lt;_xlfn.XLOOKUP(P$1,Capacity!$D$3:$D$7,Capacity!$E$3:$E$7),_xlfn.XLOOKUP(P$1,Capacity!$D$3:$D$7,Capacity!$F$3:$F$7)-U279,0)</f>
        <v>0</v>
      </c>
      <c r="Q279">
        <f t="shared" si="25"/>
        <v>1488</v>
      </c>
      <c r="R279">
        <f t="shared" si="26"/>
        <v>12393</v>
      </c>
      <c r="S279">
        <f t="shared" si="27"/>
        <v>2972</v>
      </c>
      <c r="T279">
        <f t="shared" si="28"/>
        <v>2660</v>
      </c>
      <c r="U279">
        <f t="shared" si="29"/>
        <v>6844</v>
      </c>
    </row>
    <row r="280" spans="1:21">
      <c r="A280" s="5">
        <f t="shared" si="30"/>
        <v>46301</v>
      </c>
      <c r="B280">
        <f>SUMIFS('Demand Projection'!$D$2:$D$169,'Demand Projection'!$B$2:$B$169,B$1,'Demand Projection'!$C$2:$C$169,$A280)</f>
        <v>0</v>
      </c>
      <c r="C280">
        <f>SUMIFS('Demand Projection'!$D$2:$D$169,'Demand Projection'!$B$2:$B$169,C$1,'Demand Projection'!$C$2:$C$169,$A280)</f>
        <v>0</v>
      </c>
      <c r="D280">
        <f>SUMIFS('Demand Projection'!$D$2:$D$169,'Demand Projection'!$B$2:$B$169,D$1,'Demand Projection'!$C$2:$C$169,$A280)</f>
        <v>0</v>
      </c>
      <c r="E280">
        <f>SUMIFS('Demand Projection'!$D$2:$D$169,'Demand Projection'!$B$2:$B$169,E$1,'Demand Projection'!$C$2:$C$169,$A280)</f>
        <v>430</v>
      </c>
      <c r="F280">
        <f>SUMIFS('Demand Projection'!$D$2:$D$169,'Demand Projection'!$B$2:$B$169,F$1,'Demand Projection'!$C$2:$C$169,$A280)</f>
        <v>0</v>
      </c>
      <c r="G280" cm="1">
        <f t="array" ref="G280">Q279+IF(ROW()-3&lt;2,0,INDEX(L:L,ROW()-3))</f>
        <v>1488</v>
      </c>
      <c r="H280" cm="1">
        <f t="array" ref="H280">R279+IF(ROW()-3&lt;2,0,INDEX(M:M,ROW()-3))</f>
        <v>12393</v>
      </c>
      <c r="I280" cm="1">
        <f t="array" ref="I280">S279+IF(ROW()-3&lt;2,0,INDEX(N:N,ROW()-3))</f>
        <v>2972</v>
      </c>
      <c r="J280" cm="1">
        <f t="array" ref="J280">T279+IF(ROW()-3&lt;2,0,INDEX(O:O,ROW()-3))</f>
        <v>2660</v>
      </c>
      <c r="K280" cm="1">
        <f t="array" ref="K280">U279+IF(ROW()-3&lt;2,0,INDEX(P:P,ROW()-3))</f>
        <v>6844</v>
      </c>
      <c r="L280">
        <f>IF(Q280&lt;_xlfn.XLOOKUP(L$1,Capacity!$D$3:$D$7,Capacity!$E$3:$E$7),_xlfn.XLOOKUP(L$1,Capacity!$D$3:$D$7,Capacity!$F$3:$F$7)-Q280,0)</f>
        <v>0</v>
      </c>
      <c r="M280">
        <f>IF(R280&lt;_xlfn.XLOOKUP(M$1,Capacity!$D$3:$D$7,Capacity!$E$3:$E$7),_xlfn.XLOOKUP(M$1,Capacity!$D$3:$D$7,Capacity!$F$3:$F$7)-R280,0)</f>
        <v>0</v>
      </c>
      <c r="N280">
        <f>IF(S280&lt;_xlfn.XLOOKUP(N$1,Capacity!$D$3:$D$7,Capacity!$E$3:$E$7),_xlfn.XLOOKUP(N$1,Capacity!$D$3:$D$7,Capacity!$F$3:$F$7)-S280,0)</f>
        <v>0</v>
      </c>
      <c r="O280">
        <f>IF(T280&lt;_xlfn.XLOOKUP(O$1,Capacity!$D$3:$D$7,Capacity!$E$3:$E$7),_xlfn.XLOOKUP(O$1,Capacity!$D$3:$D$7,Capacity!$F$3:$F$7)-T280,0)</f>
        <v>0</v>
      </c>
      <c r="P280">
        <f>IF(U280&lt;_xlfn.XLOOKUP(P$1,Capacity!$D$3:$D$7,Capacity!$E$3:$E$7),_xlfn.XLOOKUP(P$1,Capacity!$D$3:$D$7,Capacity!$F$3:$F$7)-U280,0)</f>
        <v>0</v>
      </c>
      <c r="Q280">
        <f t="shared" si="25"/>
        <v>1488</v>
      </c>
      <c r="R280">
        <f t="shared" si="26"/>
        <v>12393</v>
      </c>
      <c r="S280">
        <f t="shared" si="27"/>
        <v>2972</v>
      </c>
      <c r="T280">
        <f t="shared" si="28"/>
        <v>2230</v>
      </c>
      <c r="U280">
        <f t="shared" si="29"/>
        <v>6844</v>
      </c>
    </row>
    <row r="281" spans="1:21">
      <c r="A281" s="5">
        <f t="shared" si="30"/>
        <v>46302</v>
      </c>
      <c r="B281">
        <f>SUMIFS('Demand Projection'!$D$2:$D$169,'Demand Projection'!$B$2:$B$169,B$1,'Demand Projection'!$C$2:$C$169,$A281)</f>
        <v>714</v>
      </c>
      <c r="C281">
        <f>SUMIFS('Demand Projection'!$D$2:$D$169,'Demand Projection'!$B$2:$B$169,C$1,'Demand Projection'!$C$2:$C$169,$A281)</f>
        <v>0</v>
      </c>
      <c r="D281">
        <f>SUMIFS('Demand Projection'!$D$2:$D$169,'Demand Projection'!$B$2:$B$169,D$1,'Demand Projection'!$C$2:$C$169,$A281)</f>
        <v>0</v>
      </c>
      <c r="E281">
        <f>SUMIFS('Demand Projection'!$D$2:$D$169,'Demand Projection'!$B$2:$B$169,E$1,'Demand Projection'!$C$2:$C$169,$A281)</f>
        <v>0</v>
      </c>
      <c r="F281">
        <f>SUMIFS('Demand Projection'!$D$2:$D$169,'Demand Projection'!$B$2:$B$169,F$1,'Demand Projection'!$C$2:$C$169,$A281)</f>
        <v>0</v>
      </c>
      <c r="G281" cm="1">
        <f t="array" ref="G281">Q280+IF(ROW()-3&lt;2,0,INDEX(L:L,ROW()-3))</f>
        <v>1488</v>
      </c>
      <c r="H281" cm="1">
        <f t="array" ref="H281">R280+IF(ROW()-3&lt;2,0,INDEX(M:M,ROW()-3))</f>
        <v>12393</v>
      </c>
      <c r="I281" cm="1">
        <f t="array" ref="I281">S280+IF(ROW()-3&lt;2,0,INDEX(N:N,ROW()-3))</f>
        <v>2972</v>
      </c>
      <c r="J281" cm="1">
        <f t="array" ref="J281">T280+IF(ROW()-3&lt;2,0,INDEX(O:O,ROW()-3))</f>
        <v>2230</v>
      </c>
      <c r="K281" cm="1">
        <f t="array" ref="K281">U280+IF(ROW()-3&lt;2,0,INDEX(P:P,ROW()-3))</f>
        <v>6844</v>
      </c>
      <c r="L281">
        <f>IF(Q281&lt;_xlfn.XLOOKUP(L$1,Capacity!$D$3:$D$7,Capacity!$E$3:$E$7),_xlfn.XLOOKUP(L$1,Capacity!$D$3:$D$7,Capacity!$F$3:$F$7)-Q281,0)</f>
        <v>0</v>
      </c>
      <c r="M281">
        <f>IF(R281&lt;_xlfn.XLOOKUP(M$1,Capacity!$D$3:$D$7,Capacity!$E$3:$E$7),_xlfn.XLOOKUP(M$1,Capacity!$D$3:$D$7,Capacity!$F$3:$F$7)-R281,0)</f>
        <v>0</v>
      </c>
      <c r="N281">
        <f>IF(S281&lt;_xlfn.XLOOKUP(N$1,Capacity!$D$3:$D$7,Capacity!$E$3:$E$7),_xlfn.XLOOKUP(N$1,Capacity!$D$3:$D$7,Capacity!$F$3:$F$7)-S281,0)</f>
        <v>0</v>
      </c>
      <c r="O281">
        <f>IF(T281&lt;_xlfn.XLOOKUP(O$1,Capacity!$D$3:$D$7,Capacity!$E$3:$E$7),_xlfn.XLOOKUP(O$1,Capacity!$D$3:$D$7,Capacity!$F$3:$F$7)-T281,0)</f>
        <v>0</v>
      </c>
      <c r="P281">
        <f>IF(U281&lt;_xlfn.XLOOKUP(P$1,Capacity!$D$3:$D$7,Capacity!$E$3:$E$7),_xlfn.XLOOKUP(P$1,Capacity!$D$3:$D$7,Capacity!$F$3:$F$7)-U281,0)</f>
        <v>0</v>
      </c>
      <c r="Q281">
        <f t="shared" si="25"/>
        <v>774</v>
      </c>
      <c r="R281">
        <f t="shared" si="26"/>
        <v>12393</v>
      </c>
      <c r="S281">
        <f t="shared" si="27"/>
        <v>2972</v>
      </c>
      <c r="T281">
        <f t="shared" si="28"/>
        <v>2230</v>
      </c>
      <c r="U281">
        <f t="shared" si="29"/>
        <v>6844</v>
      </c>
    </row>
    <row r="282" spans="1:21">
      <c r="A282" s="5">
        <f t="shared" si="30"/>
        <v>46303</v>
      </c>
      <c r="B282">
        <f>SUMIFS('Demand Projection'!$D$2:$D$169,'Demand Projection'!$B$2:$B$169,B$1,'Demand Projection'!$C$2:$C$169,$A282)</f>
        <v>0</v>
      </c>
      <c r="C282">
        <f>SUMIFS('Demand Projection'!$D$2:$D$169,'Demand Projection'!$B$2:$B$169,C$1,'Demand Projection'!$C$2:$C$169,$A282)</f>
        <v>0</v>
      </c>
      <c r="D282">
        <f>SUMIFS('Demand Projection'!$D$2:$D$169,'Demand Projection'!$B$2:$B$169,D$1,'Demand Projection'!$C$2:$C$169,$A282)</f>
        <v>0</v>
      </c>
      <c r="E282">
        <f>SUMIFS('Demand Projection'!$D$2:$D$169,'Demand Projection'!$B$2:$B$169,E$1,'Demand Projection'!$C$2:$C$169,$A282)</f>
        <v>0</v>
      </c>
      <c r="F282">
        <f>SUMIFS('Demand Projection'!$D$2:$D$169,'Demand Projection'!$B$2:$B$169,F$1,'Demand Projection'!$C$2:$C$169,$A282)</f>
        <v>0</v>
      </c>
      <c r="G282" cm="1">
        <f t="array" ref="G282">Q281+IF(ROW()-3&lt;2,0,INDEX(L:L,ROW()-3))</f>
        <v>774</v>
      </c>
      <c r="H282" cm="1">
        <f t="array" ref="H282">R281+IF(ROW()-3&lt;2,0,INDEX(M:M,ROW()-3))</f>
        <v>12393</v>
      </c>
      <c r="I282" cm="1">
        <f t="array" ref="I282">S281+IF(ROW()-3&lt;2,0,INDEX(N:N,ROW()-3))</f>
        <v>2972</v>
      </c>
      <c r="J282" cm="1">
        <f t="array" ref="J282">T281+IF(ROW()-3&lt;2,0,INDEX(O:O,ROW()-3))</f>
        <v>2230</v>
      </c>
      <c r="K282" cm="1">
        <f t="array" ref="K282">U281+IF(ROW()-3&lt;2,0,INDEX(P:P,ROW()-3))</f>
        <v>6844</v>
      </c>
      <c r="L282">
        <f>IF(Q282&lt;_xlfn.XLOOKUP(L$1,Capacity!$D$3:$D$7,Capacity!$E$3:$E$7),_xlfn.XLOOKUP(L$1,Capacity!$D$3:$D$7,Capacity!$F$3:$F$7)-Q282,0)</f>
        <v>0</v>
      </c>
      <c r="M282">
        <f>IF(R282&lt;_xlfn.XLOOKUP(M$1,Capacity!$D$3:$D$7,Capacity!$E$3:$E$7),_xlfn.XLOOKUP(M$1,Capacity!$D$3:$D$7,Capacity!$F$3:$F$7)-R282,0)</f>
        <v>0</v>
      </c>
      <c r="N282">
        <f>IF(S282&lt;_xlfn.XLOOKUP(N$1,Capacity!$D$3:$D$7,Capacity!$E$3:$E$7),_xlfn.XLOOKUP(N$1,Capacity!$D$3:$D$7,Capacity!$F$3:$F$7)-S282,0)</f>
        <v>0</v>
      </c>
      <c r="O282">
        <f>IF(T282&lt;_xlfn.XLOOKUP(O$1,Capacity!$D$3:$D$7,Capacity!$E$3:$E$7),_xlfn.XLOOKUP(O$1,Capacity!$D$3:$D$7,Capacity!$F$3:$F$7)-T282,0)</f>
        <v>0</v>
      </c>
      <c r="P282">
        <f>IF(U282&lt;_xlfn.XLOOKUP(P$1,Capacity!$D$3:$D$7,Capacity!$E$3:$E$7),_xlfn.XLOOKUP(P$1,Capacity!$D$3:$D$7,Capacity!$F$3:$F$7)-U282,0)</f>
        <v>0</v>
      </c>
      <c r="Q282">
        <f t="shared" si="25"/>
        <v>774</v>
      </c>
      <c r="R282">
        <f t="shared" si="26"/>
        <v>12393</v>
      </c>
      <c r="S282">
        <f t="shared" si="27"/>
        <v>2972</v>
      </c>
      <c r="T282">
        <f t="shared" si="28"/>
        <v>2230</v>
      </c>
      <c r="U282">
        <f t="shared" si="29"/>
        <v>6844</v>
      </c>
    </row>
    <row r="283" spans="1:21">
      <c r="A283" s="5">
        <f t="shared" si="30"/>
        <v>46304</v>
      </c>
      <c r="B283">
        <f>SUMIFS('Demand Projection'!$D$2:$D$169,'Demand Projection'!$B$2:$B$169,B$1,'Demand Projection'!$C$2:$C$169,$A283)</f>
        <v>0</v>
      </c>
      <c r="C283">
        <f>SUMIFS('Demand Projection'!$D$2:$D$169,'Demand Projection'!$B$2:$B$169,C$1,'Demand Projection'!$C$2:$C$169,$A283)</f>
        <v>0</v>
      </c>
      <c r="D283">
        <f>SUMIFS('Demand Projection'!$D$2:$D$169,'Demand Projection'!$B$2:$B$169,D$1,'Demand Projection'!$C$2:$C$169,$A283)</f>
        <v>358</v>
      </c>
      <c r="E283">
        <f>SUMIFS('Demand Projection'!$D$2:$D$169,'Demand Projection'!$B$2:$B$169,E$1,'Demand Projection'!$C$2:$C$169,$A283)</f>
        <v>0</v>
      </c>
      <c r="F283">
        <f>SUMIFS('Demand Projection'!$D$2:$D$169,'Demand Projection'!$B$2:$B$169,F$1,'Demand Projection'!$C$2:$C$169,$A283)</f>
        <v>0</v>
      </c>
      <c r="G283" cm="1">
        <f t="array" ref="G283">Q282+IF(ROW()-3&lt;2,0,INDEX(L:L,ROW()-3))</f>
        <v>774</v>
      </c>
      <c r="H283" cm="1">
        <f t="array" ref="H283">R282+IF(ROW()-3&lt;2,0,INDEX(M:M,ROW()-3))</f>
        <v>12393</v>
      </c>
      <c r="I283" cm="1">
        <f t="array" ref="I283">S282+IF(ROW()-3&lt;2,0,INDEX(N:N,ROW()-3))</f>
        <v>2972</v>
      </c>
      <c r="J283" cm="1">
        <f t="array" ref="J283">T282+IF(ROW()-3&lt;2,0,INDEX(O:O,ROW()-3))</f>
        <v>2230</v>
      </c>
      <c r="K283" cm="1">
        <f t="array" ref="K283">U282+IF(ROW()-3&lt;2,0,INDEX(P:P,ROW()-3))</f>
        <v>6844</v>
      </c>
      <c r="L283">
        <f>IF(Q283&lt;_xlfn.XLOOKUP(L$1,Capacity!$D$3:$D$7,Capacity!$E$3:$E$7),_xlfn.XLOOKUP(L$1,Capacity!$D$3:$D$7,Capacity!$F$3:$F$7)-Q283,0)</f>
        <v>0</v>
      </c>
      <c r="M283">
        <f>IF(R283&lt;_xlfn.XLOOKUP(M$1,Capacity!$D$3:$D$7,Capacity!$E$3:$E$7),_xlfn.XLOOKUP(M$1,Capacity!$D$3:$D$7,Capacity!$F$3:$F$7)-R283,0)</f>
        <v>0</v>
      </c>
      <c r="N283">
        <f>IF(S283&lt;_xlfn.XLOOKUP(N$1,Capacity!$D$3:$D$7,Capacity!$E$3:$E$7),_xlfn.XLOOKUP(N$1,Capacity!$D$3:$D$7,Capacity!$F$3:$F$7)-S283,0)</f>
        <v>0</v>
      </c>
      <c r="O283">
        <f>IF(T283&lt;_xlfn.XLOOKUP(O$1,Capacity!$D$3:$D$7,Capacity!$E$3:$E$7),_xlfn.XLOOKUP(O$1,Capacity!$D$3:$D$7,Capacity!$F$3:$F$7)-T283,0)</f>
        <v>0</v>
      </c>
      <c r="P283">
        <f>IF(U283&lt;_xlfn.XLOOKUP(P$1,Capacity!$D$3:$D$7,Capacity!$E$3:$E$7),_xlfn.XLOOKUP(P$1,Capacity!$D$3:$D$7,Capacity!$F$3:$F$7)-U283,0)</f>
        <v>0</v>
      </c>
      <c r="Q283">
        <f t="shared" si="25"/>
        <v>774</v>
      </c>
      <c r="R283">
        <f t="shared" si="26"/>
        <v>12393</v>
      </c>
      <c r="S283">
        <f t="shared" si="27"/>
        <v>2614</v>
      </c>
      <c r="T283">
        <f t="shared" si="28"/>
        <v>2230</v>
      </c>
      <c r="U283">
        <f t="shared" si="29"/>
        <v>6844</v>
      </c>
    </row>
    <row r="284" spans="1:21">
      <c r="A284" s="5">
        <f t="shared" si="30"/>
        <v>46305</v>
      </c>
      <c r="B284">
        <f>SUMIFS('Demand Projection'!$D$2:$D$169,'Demand Projection'!$B$2:$B$169,B$1,'Demand Projection'!$C$2:$C$169,$A284)</f>
        <v>0</v>
      </c>
      <c r="C284">
        <f>SUMIFS('Demand Projection'!$D$2:$D$169,'Demand Projection'!$B$2:$B$169,C$1,'Demand Projection'!$C$2:$C$169,$A284)</f>
        <v>0</v>
      </c>
      <c r="D284">
        <f>SUMIFS('Demand Projection'!$D$2:$D$169,'Demand Projection'!$B$2:$B$169,D$1,'Demand Projection'!$C$2:$C$169,$A284)</f>
        <v>0</v>
      </c>
      <c r="E284">
        <f>SUMIFS('Demand Projection'!$D$2:$D$169,'Demand Projection'!$B$2:$B$169,E$1,'Demand Projection'!$C$2:$C$169,$A284)</f>
        <v>0</v>
      </c>
      <c r="F284">
        <f>SUMIFS('Demand Projection'!$D$2:$D$169,'Demand Projection'!$B$2:$B$169,F$1,'Demand Projection'!$C$2:$C$169,$A284)</f>
        <v>0</v>
      </c>
      <c r="G284" cm="1">
        <f t="array" ref="G284">Q283+IF(ROW()-3&lt;2,0,INDEX(L:L,ROW()-3))</f>
        <v>774</v>
      </c>
      <c r="H284" cm="1">
        <f t="array" ref="H284">R283+IF(ROW()-3&lt;2,0,INDEX(M:M,ROW()-3))</f>
        <v>12393</v>
      </c>
      <c r="I284" cm="1">
        <f t="array" ref="I284">S283+IF(ROW()-3&lt;2,0,INDEX(N:N,ROW()-3))</f>
        <v>2614</v>
      </c>
      <c r="J284" cm="1">
        <f t="array" ref="J284">T283+IF(ROW()-3&lt;2,0,INDEX(O:O,ROW()-3))</f>
        <v>2230</v>
      </c>
      <c r="K284" cm="1">
        <f t="array" ref="K284">U283+IF(ROW()-3&lt;2,0,INDEX(P:P,ROW()-3))</f>
        <v>6844</v>
      </c>
      <c r="L284">
        <f>IF(Q284&lt;_xlfn.XLOOKUP(L$1,Capacity!$D$3:$D$7,Capacity!$E$3:$E$7),_xlfn.XLOOKUP(L$1,Capacity!$D$3:$D$7,Capacity!$F$3:$F$7)-Q284,0)</f>
        <v>0</v>
      </c>
      <c r="M284">
        <f>IF(R284&lt;_xlfn.XLOOKUP(M$1,Capacity!$D$3:$D$7,Capacity!$E$3:$E$7),_xlfn.XLOOKUP(M$1,Capacity!$D$3:$D$7,Capacity!$F$3:$F$7)-R284,0)</f>
        <v>0</v>
      </c>
      <c r="N284">
        <f>IF(S284&lt;_xlfn.XLOOKUP(N$1,Capacity!$D$3:$D$7,Capacity!$E$3:$E$7),_xlfn.XLOOKUP(N$1,Capacity!$D$3:$D$7,Capacity!$F$3:$F$7)-S284,0)</f>
        <v>0</v>
      </c>
      <c r="O284">
        <f>IF(T284&lt;_xlfn.XLOOKUP(O$1,Capacity!$D$3:$D$7,Capacity!$E$3:$E$7),_xlfn.XLOOKUP(O$1,Capacity!$D$3:$D$7,Capacity!$F$3:$F$7)-T284,0)</f>
        <v>0</v>
      </c>
      <c r="P284">
        <f>IF(U284&lt;_xlfn.XLOOKUP(P$1,Capacity!$D$3:$D$7,Capacity!$E$3:$E$7),_xlfn.XLOOKUP(P$1,Capacity!$D$3:$D$7,Capacity!$F$3:$F$7)-U284,0)</f>
        <v>0</v>
      </c>
      <c r="Q284">
        <f t="shared" si="25"/>
        <v>774</v>
      </c>
      <c r="R284">
        <f t="shared" si="26"/>
        <v>12393</v>
      </c>
      <c r="S284">
        <f t="shared" si="27"/>
        <v>2614</v>
      </c>
      <c r="T284">
        <f t="shared" si="28"/>
        <v>2230</v>
      </c>
      <c r="U284">
        <f t="shared" si="29"/>
        <v>6844</v>
      </c>
    </row>
    <row r="285" spans="1:21">
      <c r="A285" s="5">
        <f t="shared" si="30"/>
        <v>46306</v>
      </c>
      <c r="B285">
        <f>SUMIFS('Demand Projection'!$D$2:$D$169,'Demand Projection'!$B$2:$B$169,B$1,'Demand Projection'!$C$2:$C$169,$A285)</f>
        <v>0</v>
      </c>
      <c r="C285">
        <f>SUMIFS('Demand Projection'!$D$2:$D$169,'Demand Projection'!$B$2:$B$169,C$1,'Demand Projection'!$C$2:$C$169,$A285)</f>
        <v>0</v>
      </c>
      <c r="D285">
        <f>SUMIFS('Demand Projection'!$D$2:$D$169,'Demand Projection'!$B$2:$B$169,D$1,'Demand Projection'!$C$2:$C$169,$A285)</f>
        <v>0</v>
      </c>
      <c r="E285">
        <f>SUMIFS('Demand Projection'!$D$2:$D$169,'Demand Projection'!$B$2:$B$169,E$1,'Demand Projection'!$C$2:$C$169,$A285)</f>
        <v>0</v>
      </c>
      <c r="F285">
        <f>SUMIFS('Demand Projection'!$D$2:$D$169,'Demand Projection'!$B$2:$B$169,F$1,'Demand Projection'!$C$2:$C$169,$A285)</f>
        <v>0</v>
      </c>
      <c r="G285" cm="1">
        <f t="array" ref="G285">Q284+IF(ROW()-3&lt;2,0,INDEX(L:L,ROW()-3))</f>
        <v>774</v>
      </c>
      <c r="H285" cm="1">
        <f t="array" ref="H285">R284+IF(ROW()-3&lt;2,0,INDEX(M:M,ROW()-3))</f>
        <v>12393</v>
      </c>
      <c r="I285" cm="1">
        <f t="array" ref="I285">S284+IF(ROW()-3&lt;2,0,INDEX(N:N,ROW()-3))</f>
        <v>2614</v>
      </c>
      <c r="J285" cm="1">
        <f t="array" ref="J285">T284+IF(ROW()-3&lt;2,0,INDEX(O:O,ROW()-3))</f>
        <v>2230</v>
      </c>
      <c r="K285" cm="1">
        <f t="array" ref="K285">U284+IF(ROW()-3&lt;2,0,INDEX(P:P,ROW()-3))</f>
        <v>6844</v>
      </c>
      <c r="L285">
        <f>IF(Q285&lt;_xlfn.XLOOKUP(L$1,Capacity!$D$3:$D$7,Capacity!$E$3:$E$7),_xlfn.XLOOKUP(L$1,Capacity!$D$3:$D$7,Capacity!$F$3:$F$7)-Q285,0)</f>
        <v>0</v>
      </c>
      <c r="M285">
        <f>IF(R285&lt;_xlfn.XLOOKUP(M$1,Capacity!$D$3:$D$7,Capacity!$E$3:$E$7),_xlfn.XLOOKUP(M$1,Capacity!$D$3:$D$7,Capacity!$F$3:$F$7)-R285,0)</f>
        <v>0</v>
      </c>
      <c r="N285">
        <f>IF(S285&lt;_xlfn.XLOOKUP(N$1,Capacity!$D$3:$D$7,Capacity!$E$3:$E$7),_xlfn.XLOOKUP(N$1,Capacity!$D$3:$D$7,Capacity!$F$3:$F$7)-S285,0)</f>
        <v>0</v>
      </c>
      <c r="O285">
        <f>IF(T285&lt;_xlfn.XLOOKUP(O$1,Capacity!$D$3:$D$7,Capacity!$E$3:$E$7),_xlfn.XLOOKUP(O$1,Capacity!$D$3:$D$7,Capacity!$F$3:$F$7)-T285,0)</f>
        <v>0</v>
      </c>
      <c r="P285">
        <f>IF(U285&lt;_xlfn.XLOOKUP(P$1,Capacity!$D$3:$D$7,Capacity!$E$3:$E$7),_xlfn.XLOOKUP(P$1,Capacity!$D$3:$D$7,Capacity!$F$3:$F$7)-U285,0)</f>
        <v>0</v>
      </c>
      <c r="Q285">
        <f t="shared" si="25"/>
        <v>774</v>
      </c>
      <c r="R285">
        <f t="shared" si="26"/>
        <v>12393</v>
      </c>
      <c r="S285">
        <f t="shared" si="27"/>
        <v>2614</v>
      </c>
      <c r="T285">
        <f t="shared" si="28"/>
        <v>2230</v>
      </c>
      <c r="U285">
        <f t="shared" si="29"/>
        <v>6844</v>
      </c>
    </row>
    <row r="286" spans="1:21">
      <c r="A286" s="5">
        <f t="shared" si="30"/>
        <v>46307</v>
      </c>
      <c r="B286">
        <f>SUMIFS('Demand Projection'!$D$2:$D$169,'Demand Projection'!$B$2:$B$169,B$1,'Demand Projection'!$C$2:$C$169,$A286)</f>
        <v>0</v>
      </c>
      <c r="C286">
        <f>SUMIFS('Demand Projection'!$D$2:$D$169,'Demand Projection'!$B$2:$B$169,C$1,'Demand Projection'!$C$2:$C$169,$A286)</f>
        <v>0</v>
      </c>
      <c r="D286">
        <f>SUMIFS('Demand Projection'!$D$2:$D$169,'Demand Projection'!$B$2:$B$169,D$1,'Demand Projection'!$C$2:$C$169,$A286)</f>
        <v>0</v>
      </c>
      <c r="E286">
        <f>SUMIFS('Demand Projection'!$D$2:$D$169,'Demand Projection'!$B$2:$B$169,E$1,'Demand Projection'!$C$2:$C$169,$A286)</f>
        <v>0</v>
      </c>
      <c r="F286">
        <f>SUMIFS('Demand Projection'!$D$2:$D$169,'Demand Projection'!$B$2:$B$169,F$1,'Demand Projection'!$C$2:$C$169,$A286)</f>
        <v>250</v>
      </c>
      <c r="G286" cm="1">
        <f t="array" ref="G286">Q285+IF(ROW()-3&lt;2,0,INDEX(L:L,ROW()-3))</f>
        <v>774</v>
      </c>
      <c r="H286" cm="1">
        <f t="array" ref="H286">R285+IF(ROW()-3&lt;2,0,INDEX(M:M,ROW()-3))</f>
        <v>12393</v>
      </c>
      <c r="I286" cm="1">
        <f t="array" ref="I286">S285+IF(ROW()-3&lt;2,0,INDEX(N:N,ROW()-3))</f>
        <v>2614</v>
      </c>
      <c r="J286" cm="1">
        <f t="array" ref="J286">T285+IF(ROW()-3&lt;2,0,INDEX(O:O,ROW()-3))</f>
        <v>2230</v>
      </c>
      <c r="K286" cm="1">
        <f t="array" ref="K286">U285+IF(ROW()-3&lt;2,0,INDEX(P:P,ROW()-3))</f>
        <v>6844</v>
      </c>
      <c r="L286">
        <f>IF(Q286&lt;_xlfn.XLOOKUP(L$1,Capacity!$D$3:$D$7,Capacity!$E$3:$E$7),_xlfn.XLOOKUP(L$1,Capacity!$D$3:$D$7,Capacity!$F$3:$F$7)-Q286,0)</f>
        <v>0</v>
      </c>
      <c r="M286">
        <f>IF(R286&lt;_xlfn.XLOOKUP(M$1,Capacity!$D$3:$D$7,Capacity!$E$3:$E$7),_xlfn.XLOOKUP(M$1,Capacity!$D$3:$D$7,Capacity!$F$3:$F$7)-R286,0)</f>
        <v>0</v>
      </c>
      <c r="N286">
        <f>IF(S286&lt;_xlfn.XLOOKUP(N$1,Capacity!$D$3:$D$7,Capacity!$E$3:$E$7),_xlfn.XLOOKUP(N$1,Capacity!$D$3:$D$7,Capacity!$F$3:$F$7)-S286,0)</f>
        <v>0</v>
      </c>
      <c r="O286">
        <f>IF(T286&lt;_xlfn.XLOOKUP(O$1,Capacity!$D$3:$D$7,Capacity!$E$3:$E$7),_xlfn.XLOOKUP(O$1,Capacity!$D$3:$D$7,Capacity!$F$3:$F$7)-T286,0)</f>
        <v>0</v>
      </c>
      <c r="P286">
        <f>IF(U286&lt;_xlfn.XLOOKUP(P$1,Capacity!$D$3:$D$7,Capacity!$E$3:$E$7),_xlfn.XLOOKUP(P$1,Capacity!$D$3:$D$7,Capacity!$F$3:$F$7)-U286,0)</f>
        <v>0</v>
      </c>
      <c r="Q286">
        <f t="shared" si="25"/>
        <v>774</v>
      </c>
      <c r="R286">
        <f t="shared" si="26"/>
        <v>12393</v>
      </c>
      <c r="S286">
        <f t="shared" si="27"/>
        <v>2614</v>
      </c>
      <c r="T286">
        <f t="shared" si="28"/>
        <v>2230</v>
      </c>
      <c r="U286">
        <f t="shared" si="29"/>
        <v>6594</v>
      </c>
    </row>
    <row r="287" spans="1:21">
      <c r="A287" s="5">
        <f t="shared" si="30"/>
        <v>46308</v>
      </c>
      <c r="B287">
        <f>SUMIFS('Demand Projection'!$D$2:$D$169,'Demand Projection'!$B$2:$B$169,B$1,'Demand Projection'!$C$2:$C$169,$A287)</f>
        <v>0</v>
      </c>
      <c r="C287">
        <f>SUMIFS('Demand Projection'!$D$2:$D$169,'Demand Projection'!$B$2:$B$169,C$1,'Demand Projection'!$C$2:$C$169,$A287)</f>
        <v>376</v>
      </c>
      <c r="D287">
        <f>SUMIFS('Demand Projection'!$D$2:$D$169,'Demand Projection'!$B$2:$B$169,D$1,'Demand Projection'!$C$2:$C$169,$A287)</f>
        <v>0</v>
      </c>
      <c r="E287">
        <f>SUMIFS('Demand Projection'!$D$2:$D$169,'Demand Projection'!$B$2:$B$169,E$1,'Demand Projection'!$C$2:$C$169,$A287)</f>
        <v>0</v>
      </c>
      <c r="F287">
        <f>SUMIFS('Demand Projection'!$D$2:$D$169,'Demand Projection'!$B$2:$B$169,F$1,'Demand Projection'!$C$2:$C$169,$A287)</f>
        <v>0</v>
      </c>
      <c r="G287" cm="1">
        <f t="array" ref="G287">Q286+IF(ROW()-3&lt;2,0,INDEX(L:L,ROW()-3))</f>
        <v>774</v>
      </c>
      <c r="H287" cm="1">
        <f t="array" ref="H287">R286+IF(ROW()-3&lt;2,0,INDEX(M:M,ROW()-3))</f>
        <v>12393</v>
      </c>
      <c r="I287" cm="1">
        <f t="array" ref="I287">S286+IF(ROW()-3&lt;2,0,INDEX(N:N,ROW()-3))</f>
        <v>2614</v>
      </c>
      <c r="J287" cm="1">
        <f t="array" ref="J287">T286+IF(ROW()-3&lt;2,0,INDEX(O:O,ROW()-3))</f>
        <v>2230</v>
      </c>
      <c r="K287" cm="1">
        <f t="array" ref="K287">U286+IF(ROW()-3&lt;2,0,INDEX(P:P,ROW()-3))</f>
        <v>6594</v>
      </c>
      <c r="L287">
        <f>IF(Q287&lt;_xlfn.XLOOKUP(L$1,Capacity!$D$3:$D$7,Capacity!$E$3:$E$7),_xlfn.XLOOKUP(L$1,Capacity!$D$3:$D$7,Capacity!$F$3:$F$7)-Q287,0)</f>
        <v>0</v>
      </c>
      <c r="M287">
        <f>IF(R287&lt;_xlfn.XLOOKUP(M$1,Capacity!$D$3:$D$7,Capacity!$E$3:$E$7),_xlfn.XLOOKUP(M$1,Capacity!$D$3:$D$7,Capacity!$F$3:$F$7)-R287,0)</f>
        <v>0</v>
      </c>
      <c r="N287">
        <f>IF(S287&lt;_xlfn.XLOOKUP(N$1,Capacity!$D$3:$D$7,Capacity!$E$3:$E$7),_xlfn.XLOOKUP(N$1,Capacity!$D$3:$D$7,Capacity!$F$3:$F$7)-S287,0)</f>
        <v>0</v>
      </c>
      <c r="O287">
        <f>IF(T287&lt;_xlfn.XLOOKUP(O$1,Capacity!$D$3:$D$7,Capacity!$E$3:$E$7),_xlfn.XLOOKUP(O$1,Capacity!$D$3:$D$7,Capacity!$F$3:$F$7)-T287,0)</f>
        <v>0</v>
      </c>
      <c r="P287">
        <f>IF(U287&lt;_xlfn.XLOOKUP(P$1,Capacity!$D$3:$D$7,Capacity!$E$3:$E$7),_xlfn.XLOOKUP(P$1,Capacity!$D$3:$D$7,Capacity!$F$3:$F$7)-U287,0)</f>
        <v>0</v>
      </c>
      <c r="Q287">
        <f t="shared" si="25"/>
        <v>774</v>
      </c>
      <c r="R287">
        <f t="shared" si="26"/>
        <v>12017</v>
      </c>
      <c r="S287">
        <f t="shared" si="27"/>
        <v>2614</v>
      </c>
      <c r="T287">
        <f t="shared" si="28"/>
        <v>2230</v>
      </c>
      <c r="U287">
        <f t="shared" si="29"/>
        <v>6594</v>
      </c>
    </row>
    <row r="288" spans="1:21">
      <c r="A288" s="5">
        <f t="shared" si="30"/>
        <v>46309</v>
      </c>
      <c r="B288">
        <f>SUMIFS('Demand Projection'!$D$2:$D$169,'Demand Projection'!$B$2:$B$169,B$1,'Demand Projection'!$C$2:$C$169,$A288)</f>
        <v>0</v>
      </c>
      <c r="C288">
        <f>SUMIFS('Demand Projection'!$D$2:$D$169,'Demand Projection'!$B$2:$B$169,C$1,'Demand Projection'!$C$2:$C$169,$A288)</f>
        <v>0</v>
      </c>
      <c r="D288">
        <f>SUMIFS('Demand Projection'!$D$2:$D$169,'Demand Projection'!$B$2:$B$169,D$1,'Demand Projection'!$C$2:$C$169,$A288)</f>
        <v>0</v>
      </c>
      <c r="E288">
        <f>SUMIFS('Demand Projection'!$D$2:$D$169,'Demand Projection'!$B$2:$B$169,E$1,'Demand Projection'!$C$2:$C$169,$A288)</f>
        <v>0</v>
      </c>
      <c r="F288">
        <f>SUMIFS('Demand Projection'!$D$2:$D$169,'Demand Projection'!$B$2:$B$169,F$1,'Demand Projection'!$C$2:$C$169,$A288)</f>
        <v>0</v>
      </c>
      <c r="G288" cm="1">
        <f t="array" ref="G288">Q287+IF(ROW()-3&lt;2,0,INDEX(L:L,ROW()-3))</f>
        <v>774</v>
      </c>
      <c r="H288" cm="1">
        <f t="array" ref="H288">R287+IF(ROW()-3&lt;2,0,INDEX(M:M,ROW()-3))</f>
        <v>12017</v>
      </c>
      <c r="I288" cm="1">
        <f t="array" ref="I288">S287+IF(ROW()-3&lt;2,0,INDEX(N:N,ROW()-3))</f>
        <v>2614</v>
      </c>
      <c r="J288" cm="1">
        <f t="array" ref="J288">T287+IF(ROW()-3&lt;2,0,INDEX(O:O,ROW()-3))</f>
        <v>2230</v>
      </c>
      <c r="K288" cm="1">
        <f t="array" ref="K288">U287+IF(ROW()-3&lt;2,0,INDEX(P:P,ROW()-3))</f>
        <v>6594</v>
      </c>
      <c r="L288">
        <f>IF(Q288&lt;_xlfn.XLOOKUP(L$1,Capacity!$D$3:$D$7,Capacity!$E$3:$E$7),_xlfn.XLOOKUP(L$1,Capacity!$D$3:$D$7,Capacity!$F$3:$F$7)-Q288,0)</f>
        <v>0</v>
      </c>
      <c r="M288">
        <f>IF(R288&lt;_xlfn.XLOOKUP(M$1,Capacity!$D$3:$D$7,Capacity!$E$3:$E$7),_xlfn.XLOOKUP(M$1,Capacity!$D$3:$D$7,Capacity!$F$3:$F$7)-R288,0)</f>
        <v>0</v>
      </c>
      <c r="N288">
        <f>IF(S288&lt;_xlfn.XLOOKUP(N$1,Capacity!$D$3:$D$7,Capacity!$E$3:$E$7),_xlfn.XLOOKUP(N$1,Capacity!$D$3:$D$7,Capacity!$F$3:$F$7)-S288,0)</f>
        <v>0</v>
      </c>
      <c r="O288">
        <f>IF(T288&lt;_xlfn.XLOOKUP(O$1,Capacity!$D$3:$D$7,Capacity!$E$3:$E$7),_xlfn.XLOOKUP(O$1,Capacity!$D$3:$D$7,Capacity!$F$3:$F$7)-T288,0)</f>
        <v>0</v>
      </c>
      <c r="P288">
        <f>IF(U288&lt;_xlfn.XLOOKUP(P$1,Capacity!$D$3:$D$7,Capacity!$E$3:$E$7),_xlfn.XLOOKUP(P$1,Capacity!$D$3:$D$7,Capacity!$F$3:$F$7)-U288,0)</f>
        <v>0</v>
      </c>
      <c r="Q288">
        <f t="shared" si="25"/>
        <v>774</v>
      </c>
      <c r="R288">
        <f t="shared" si="26"/>
        <v>12017</v>
      </c>
      <c r="S288">
        <f t="shared" si="27"/>
        <v>2614</v>
      </c>
      <c r="T288">
        <f t="shared" si="28"/>
        <v>2230</v>
      </c>
      <c r="U288">
        <f t="shared" si="29"/>
        <v>6594</v>
      </c>
    </row>
    <row r="289" spans="1:21">
      <c r="A289" s="5">
        <f t="shared" si="30"/>
        <v>46310</v>
      </c>
      <c r="B289">
        <f>SUMIFS('Demand Projection'!$D$2:$D$169,'Demand Projection'!$B$2:$B$169,B$1,'Demand Projection'!$C$2:$C$169,$A289)</f>
        <v>0</v>
      </c>
      <c r="C289">
        <f>SUMIFS('Demand Projection'!$D$2:$D$169,'Demand Projection'!$B$2:$B$169,C$1,'Demand Projection'!$C$2:$C$169,$A289)</f>
        <v>0</v>
      </c>
      <c r="D289">
        <f>SUMIFS('Demand Projection'!$D$2:$D$169,'Demand Projection'!$B$2:$B$169,D$1,'Demand Projection'!$C$2:$C$169,$A289)</f>
        <v>0</v>
      </c>
      <c r="E289">
        <f>SUMIFS('Demand Projection'!$D$2:$D$169,'Demand Projection'!$B$2:$B$169,E$1,'Demand Projection'!$C$2:$C$169,$A289)</f>
        <v>0</v>
      </c>
      <c r="F289">
        <f>SUMIFS('Demand Projection'!$D$2:$D$169,'Demand Projection'!$B$2:$B$169,F$1,'Demand Projection'!$C$2:$C$169,$A289)</f>
        <v>0</v>
      </c>
      <c r="G289" cm="1">
        <f t="array" ref="G289">Q288+IF(ROW()-3&lt;2,0,INDEX(L:L,ROW()-3))</f>
        <v>774</v>
      </c>
      <c r="H289" cm="1">
        <f t="array" ref="H289">R288+IF(ROW()-3&lt;2,0,INDEX(M:M,ROW()-3))</f>
        <v>12017</v>
      </c>
      <c r="I289" cm="1">
        <f t="array" ref="I289">S288+IF(ROW()-3&lt;2,0,INDEX(N:N,ROW()-3))</f>
        <v>2614</v>
      </c>
      <c r="J289" cm="1">
        <f t="array" ref="J289">T288+IF(ROW()-3&lt;2,0,INDEX(O:O,ROW()-3))</f>
        <v>2230</v>
      </c>
      <c r="K289" cm="1">
        <f t="array" ref="K289">U288+IF(ROW()-3&lt;2,0,INDEX(P:P,ROW()-3))</f>
        <v>6594</v>
      </c>
      <c r="L289">
        <f>IF(Q289&lt;_xlfn.XLOOKUP(L$1,Capacity!$D$3:$D$7,Capacity!$E$3:$E$7),_xlfn.XLOOKUP(L$1,Capacity!$D$3:$D$7,Capacity!$F$3:$F$7)-Q289,0)</f>
        <v>0</v>
      </c>
      <c r="M289">
        <f>IF(R289&lt;_xlfn.XLOOKUP(M$1,Capacity!$D$3:$D$7,Capacity!$E$3:$E$7),_xlfn.XLOOKUP(M$1,Capacity!$D$3:$D$7,Capacity!$F$3:$F$7)-R289,0)</f>
        <v>0</v>
      </c>
      <c r="N289">
        <f>IF(S289&lt;_xlfn.XLOOKUP(N$1,Capacity!$D$3:$D$7,Capacity!$E$3:$E$7),_xlfn.XLOOKUP(N$1,Capacity!$D$3:$D$7,Capacity!$F$3:$F$7)-S289,0)</f>
        <v>0</v>
      </c>
      <c r="O289">
        <f>IF(T289&lt;_xlfn.XLOOKUP(O$1,Capacity!$D$3:$D$7,Capacity!$E$3:$E$7),_xlfn.XLOOKUP(O$1,Capacity!$D$3:$D$7,Capacity!$F$3:$F$7)-T289,0)</f>
        <v>0</v>
      </c>
      <c r="P289">
        <f>IF(U289&lt;_xlfn.XLOOKUP(P$1,Capacity!$D$3:$D$7,Capacity!$E$3:$E$7),_xlfn.XLOOKUP(P$1,Capacity!$D$3:$D$7,Capacity!$F$3:$F$7)-U289,0)</f>
        <v>0</v>
      </c>
      <c r="Q289">
        <f t="shared" si="25"/>
        <v>774</v>
      </c>
      <c r="R289">
        <f t="shared" si="26"/>
        <v>12017</v>
      </c>
      <c r="S289">
        <f t="shared" si="27"/>
        <v>2614</v>
      </c>
      <c r="T289">
        <f t="shared" si="28"/>
        <v>2230</v>
      </c>
      <c r="U289">
        <f t="shared" si="29"/>
        <v>6594</v>
      </c>
    </row>
    <row r="290" spans="1:21">
      <c r="A290" s="5">
        <f t="shared" si="30"/>
        <v>46311</v>
      </c>
      <c r="B290">
        <f>SUMIFS('Demand Projection'!$D$2:$D$169,'Demand Projection'!$B$2:$B$169,B$1,'Demand Projection'!$C$2:$C$169,$A290)</f>
        <v>0</v>
      </c>
      <c r="C290">
        <f>SUMIFS('Demand Projection'!$D$2:$D$169,'Demand Projection'!$B$2:$B$169,C$1,'Demand Projection'!$C$2:$C$169,$A290)</f>
        <v>0</v>
      </c>
      <c r="D290">
        <f>SUMIFS('Demand Projection'!$D$2:$D$169,'Demand Projection'!$B$2:$B$169,D$1,'Demand Projection'!$C$2:$C$169,$A290)</f>
        <v>0</v>
      </c>
      <c r="E290">
        <f>SUMIFS('Demand Projection'!$D$2:$D$169,'Demand Projection'!$B$2:$B$169,E$1,'Demand Projection'!$C$2:$C$169,$A290)</f>
        <v>0</v>
      </c>
      <c r="F290">
        <f>SUMIFS('Demand Projection'!$D$2:$D$169,'Demand Projection'!$B$2:$B$169,F$1,'Demand Projection'!$C$2:$C$169,$A290)</f>
        <v>0</v>
      </c>
      <c r="G290" cm="1">
        <f t="array" ref="G290">Q289+IF(ROW()-3&lt;2,0,INDEX(L:L,ROW()-3))</f>
        <v>774</v>
      </c>
      <c r="H290" cm="1">
        <f t="array" ref="H290">R289+IF(ROW()-3&lt;2,0,INDEX(M:M,ROW()-3))</f>
        <v>12017</v>
      </c>
      <c r="I290" cm="1">
        <f t="array" ref="I290">S289+IF(ROW()-3&lt;2,0,INDEX(N:N,ROW()-3))</f>
        <v>2614</v>
      </c>
      <c r="J290" cm="1">
        <f t="array" ref="J290">T289+IF(ROW()-3&lt;2,0,INDEX(O:O,ROW()-3))</f>
        <v>2230</v>
      </c>
      <c r="K290" cm="1">
        <f t="array" ref="K290">U289+IF(ROW()-3&lt;2,0,INDEX(P:P,ROW()-3))</f>
        <v>6594</v>
      </c>
      <c r="L290">
        <f>IF(Q290&lt;_xlfn.XLOOKUP(L$1,Capacity!$D$3:$D$7,Capacity!$E$3:$E$7),_xlfn.XLOOKUP(L$1,Capacity!$D$3:$D$7,Capacity!$F$3:$F$7)-Q290,0)</f>
        <v>0</v>
      </c>
      <c r="M290">
        <f>IF(R290&lt;_xlfn.XLOOKUP(M$1,Capacity!$D$3:$D$7,Capacity!$E$3:$E$7),_xlfn.XLOOKUP(M$1,Capacity!$D$3:$D$7,Capacity!$F$3:$F$7)-R290,0)</f>
        <v>0</v>
      </c>
      <c r="N290">
        <f>IF(S290&lt;_xlfn.XLOOKUP(N$1,Capacity!$D$3:$D$7,Capacity!$E$3:$E$7),_xlfn.XLOOKUP(N$1,Capacity!$D$3:$D$7,Capacity!$F$3:$F$7)-S290,0)</f>
        <v>0</v>
      </c>
      <c r="O290">
        <f>IF(T290&lt;_xlfn.XLOOKUP(O$1,Capacity!$D$3:$D$7,Capacity!$E$3:$E$7),_xlfn.XLOOKUP(O$1,Capacity!$D$3:$D$7,Capacity!$F$3:$F$7)-T290,0)</f>
        <v>0</v>
      </c>
      <c r="P290">
        <f>IF(U290&lt;_xlfn.XLOOKUP(P$1,Capacity!$D$3:$D$7,Capacity!$E$3:$E$7),_xlfn.XLOOKUP(P$1,Capacity!$D$3:$D$7,Capacity!$F$3:$F$7)-U290,0)</f>
        <v>0</v>
      </c>
      <c r="Q290">
        <f t="shared" si="25"/>
        <v>774</v>
      </c>
      <c r="R290">
        <f t="shared" si="26"/>
        <v>12017</v>
      </c>
      <c r="S290">
        <f t="shared" si="27"/>
        <v>2614</v>
      </c>
      <c r="T290">
        <f t="shared" si="28"/>
        <v>2230</v>
      </c>
      <c r="U290">
        <f t="shared" si="29"/>
        <v>6594</v>
      </c>
    </row>
    <row r="291" spans="1:21">
      <c r="A291" s="5">
        <f t="shared" si="30"/>
        <v>46312</v>
      </c>
      <c r="B291">
        <f>SUMIFS('Demand Projection'!$D$2:$D$169,'Demand Projection'!$B$2:$B$169,B$1,'Demand Projection'!$C$2:$C$169,$A291)</f>
        <v>0</v>
      </c>
      <c r="C291">
        <f>SUMIFS('Demand Projection'!$D$2:$D$169,'Demand Projection'!$B$2:$B$169,C$1,'Demand Projection'!$C$2:$C$169,$A291)</f>
        <v>0</v>
      </c>
      <c r="D291">
        <f>SUMIFS('Demand Projection'!$D$2:$D$169,'Demand Projection'!$B$2:$B$169,D$1,'Demand Projection'!$C$2:$C$169,$A291)</f>
        <v>0</v>
      </c>
      <c r="E291">
        <f>SUMIFS('Demand Projection'!$D$2:$D$169,'Demand Projection'!$B$2:$B$169,E$1,'Demand Projection'!$C$2:$C$169,$A291)</f>
        <v>533</v>
      </c>
      <c r="F291">
        <f>SUMIFS('Demand Projection'!$D$2:$D$169,'Demand Projection'!$B$2:$B$169,F$1,'Demand Projection'!$C$2:$C$169,$A291)</f>
        <v>0</v>
      </c>
      <c r="G291" cm="1">
        <f t="array" ref="G291">Q290+IF(ROW()-3&lt;2,0,INDEX(L:L,ROW()-3))</f>
        <v>774</v>
      </c>
      <c r="H291" cm="1">
        <f t="array" ref="H291">R290+IF(ROW()-3&lt;2,0,INDEX(M:M,ROW()-3))</f>
        <v>12017</v>
      </c>
      <c r="I291" cm="1">
        <f t="array" ref="I291">S290+IF(ROW()-3&lt;2,0,INDEX(N:N,ROW()-3))</f>
        <v>2614</v>
      </c>
      <c r="J291" cm="1">
        <f t="array" ref="J291">T290+IF(ROW()-3&lt;2,0,INDEX(O:O,ROW()-3))</f>
        <v>2230</v>
      </c>
      <c r="K291" cm="1">
        <f t="array" ref="K291">U290+IF(ROW()-3&lt;2,0,INDEX(P:P,ROW()-3))</f>
        <v>6594</v>
      </c>
      <c r="L291">
        <f>IF(Q291&lt;_xlfn.XLOOKUP(L$1,Capacity!$D$3:$D$7,Capacity!$E$3:$E$7),_xlfn.XLOOKUP(L$1,Capacity!$D$3:$D$7,Capacity!$F$3:$F$7)-Q291,0)</f>
        <v>0</v>
      </c>
      <c r="M291">
        <f>IF(R291&lt;_xlfn.XLOOKUP(M$1,Capacity!$D$3:$D$7,Capacity!$E$3:$E$7),_xlfn.XLOOKUP(M$1,Capacity!$D$3:$D$7,Capacity!$F$3:$F$7)-R291,0)</f>
        <v>0</v>
      </c>
      <c r="N291">
        <f>IF(S291&lt;_xlfn.XLOOKUP(N$1,Capacity!$D$3:$D$7,Capacity!$E$3:$E$7),_xlfn.XLOOKUP(N$1,Capacity!$D$3:$D$7,Capacity!$F$3:$F$7)-S291,0)</f>
        <v>0</v>
      </c>
      <c r="O291">
        <f>IF(T291&lt;_xlfn.XLOOKUP(O$1,Capacity!$D$3:$D$7,Capacity!$E$3:$E$7),_xlfn.XLOOKUP(O$1,Capacity!$D$3:$D$7,Capacity!$F$3:$F$7)-T291,0)</f>
        <v>0</v>
      </c>
      <c r="P291">
        <f>IF(U291&lt;_xlfn.XLOOKUP(P$1,Capacity!$D$3:$D$7,Capacity!$E$3:$E$7),_xlfn.XLOOKUP(P$1,Capacity!$D$3:$D$7,Capacity!$F$3:$F$7)-U291,0)</f>
        <v>0</v>
      </c>
      <c r="Q291">
        <f t="shared" si="25"/>
        <v>774</v>
      </c>
      <c r="R291">
        <f t="shared" si="26"/>
        <v>12017</v>
      </c>
      <c r="S291">
        <f t="shared" si="27"/>
        <v>2614</v>
      </c>
      <c r="T291">
        <f t="shared" si="28"/>
        <v>1697</v>
      </c>
      <c r="U291">
        <f t="shared" si="29"/>
        <v>6594</v>
      </c>
    </row>
    <row r="292" spans="1:21">
      <c r="A292" s="5">
        <f t="shared" si="30"/>
        <v>46313</v>
      </c>
      <c r="B292">
        <f>SUMIFS('Demand Projection'!$D$2:$D$169,'Demand Projection'!$B$2:$B$169,B$1,'Demand Projection'!$C$2:$C$169,$A292)</f>
        <v>0</v>
      </c>
      <c r="C292">
        <f>SUMIFS('Demand Projection'!$D$2:$D$169,'Demand Projection'!$B$2:$B$169,C$1,'Demand Projection'!$C$2:$C$169,$A292)</f>
        <v>0</v>
      </c>
      <c r="D292">
        <f>SUMIFS('Demand Projection'!$D$2:$D$169,'Demand Projection'!$B$2:$B$169,D$1,'Demand Projection'!$C$2:$C$169,$A292)</f>
        <v>0</v>
      </c>
      <c r="E292">
        <f>SUMIFS('Demand Projection'!$D$2:$D$169,'Demand Projection'!$B$2:$B$169,E$1,'Demand Projection'!$C$2:$C$169,$A292)</f>
        <v>0</v>
      </c>
      <c r="F292">
        <f>SUMIFS('Demand Projection'!$D$2:$D$169,'Demand Projection'!$B$2:$B$169,F$1,'Demand Projection'!$C$2:$C$169,$A292)</f>
        <v>0</v>
      </c>
      <c r="G292" cm="1">
        <f t="array" ref="G292">Q291+IF(ROW()-3&lt;2,0,INDEX(L:L,ROW()-3))</f>
        <v>774</v>
      </c>
      <c r="H292" cm="1">
        <f t="array" ref="H292">R291+IF(ROW()-3&lt;2,0,INDEX(M:M,ROW()-3))</f>
        <v>12017</v>
      </c>
      <c r="I292" cm="1">
        <f t="array" ref="I292">S291+IF(ROW()-3&lt;2,0,INDEX(N:N,ROW()-3))</f>
        <v>2614</v>
      </c>
      <c r="J292" cm="1">
        <f t="array" ref="J292">T291+IF(ROW()-3&lt;2,0,INDEX(O:O,ROW()-3))</f>
        <v>1697</v>
      </c>
      <c r="K292" cm="1">
        <f t="array" ref="K292">U291+IF(ROW()-3&lt;2,0,INDEX(P:P,ROW()-3))</f>
        <v>6594</v>
      </c>
      <c r="L292">
        <f>IF(Q292&lt;_xlfn.XLOOKUP(L$1,Capacity!$D$3:$D$7,Capacity!$E$3:$E$7),_xlfn.XLOOKUP(L$1,Capacity!$D$3:$D$7,Capacity!$F$3:$F$7)-Q292,0)</f>
        <v>0</v>
      </c>
      <c r="M292">
        <f>IF(R292&lt;_xlfn.XLOOKUP(M$1,Capacity!$D$3:$D$7,Capacity!$E$3:$E$7),_xlfn.XLOOKUP(M$1,Capacity!$D$3:$D$7,Capacity!$F$3:$F$7)-R292,0)</f>
        <v>0</v>
      </c>
      <c r="N292">
        <f>IF(S292&lt;_xlfn.XLOOKUP(N$1,Capacity!$D$3:$D$7,Capacity!$E$3:$E$7),_xlfn.XLOOKUP(N$1,Capacity!$D$3:$D$7,Capacity!$F$3:$F$7)-S292,0)</f>
        <v>0</v>
      </c>
      <c r="O292">
        <f>IF(T292&lt;_xlfn.XLOOKUP(O$1,Capacity!$D$3:$D$7,Capacity!$E$3:$E$7),_xlfn.XLOOKUP(O$1,Capacity!$D$3:$D$7,Capacity!$F$3:$F$7)-T292,0)</f>
        <v>0</v>
      </c>
      <c r="P292">
        <f>IF(U292&lt;_xlfn.XLOOKUP(P$1,Capacity!$D$3:$D$7,Capacity!$E$3:$E$7),_xlfn.XLOOKUP(P$1,Capacity!$D$3:$D$7,Capacity!$F$3:$F$7)-U292,0)</f>
        <v>0</v>
      </c>
      <c r="Q292">
        <f t="shared" si="25"/>
        <v>774</v>
      </c>
      <c r="R292">
        <f t="shared" si="26"/>
        <v>12017</v>
      </c>
      <c r="S292">
        <f t="shared" si="27"/>
        <v>2614</v>
      </c>
      <c r="T292">
        <f t="shared" si="28"/>
        <v>1697</v>
      </c>
      <c r="U292">
        <f t="shared" si="29"/>
        <v>6594</v>
      </c>
    </row>
    <row r="293" spans="1:21">
      <c r="A293" s="5">
        <f t="shared" si="30"/>
        <v>46314</v>
      </c>
      <c r="B293">
        <f>SUMIFS('Demand Projection'!$D$2:$D$169,'Demand Projection'!$B$2:$B$169,B$1,'Demand Projection'!$C$2:$C$169,$A293)</f>
        <v>0</v>
      </c>
      <c r="C293">
        <f>SUMIFS('Demand Projection'!$D$2:$D$169,'Demand Projection'!$B$2:$B$169,C$1,'Demand Projection'!$C$2:$C$169,$A293)</f>
        <v>0</v>
      </c>
      <c r="D293">
        <f>SUMIFS('Demand Projection'!$D$2:$D$169,'Demand Projection'!$B$2:$B$169,D$1,'Demand Projection'!$C$2:$C$169,$A293)</f>
        <v>0</v>
      </c>
      <c r="E293">
        <f>SUMIFS('Demand Projection'!$D$2:$D$169,'Demand Projection'!$B$2:$B$169,E$1,'Demand Projection'!$C$2:$C$169,$A293)</f>
        <v>0</v>
      </c>
      <c r="F293">
        <f>SUMIFS('Demand Projection'!$D$2:$D$169,'Demand Projection'!$B$2:$B$169,F$1,'Demand Projection'!$C$2:$C$169,$A293)</f>
        <v>0</v>
      </c>
      <c r="G293" cm="1">
        <f t="array" ref="G293">Q292+IF(ROW()-3&lt;2,0,INDEX(L:L,ROW()-3))</f>
        <v>774</v>
      </c>
      <c r="H293" cm="1">
        <f t="array" ref="H293">R292+IF(ROW()-3&lt;2,0,INDEX(M:M,ROW()-3))</f>
        <v>12017</v>
      </c>
      <c r="I293" cm="1">
        <f t="array" ref="I293">S292+IF(ROW()-3&lt;2,0,INDEX(N:N,ROW()-3))</f>
        <v>2614</v>
      </c>
      <c r="J293" cm="1">
        <f t="array" ref="J293">T292+IF(ROW()-3&lt;2,0,INDEX(O:O,ROW()-3))</f>
        <v>1697</v>
      </c>
      <c r="K293" cm="1">
        <f t="array" ref="K293">U292+IF(ROW()-3&lt;2,0,INDEX(P:P,ROW()-3))</f>
        <v>6594</v>
      </c>
      <c r="L293">
        <f>IF(Q293&lt;_xlfn.XLOOKUP(L$1,Capacity!$D$3:$D$7,Capacity!$E$3:$E$7),_xlfn.XLOOKUP(L$1,Capacity!$D$3:$D$7,Capacity!$F$3:$F$7)-Q293,0)</f>
        <v>0</v>
      </c>
      <c r="M293">
        <f>IF(R293&lt;_xlfn.XLOOKUP(M$1,Capacity!$D$3:$D$7,Capacity!$E$3:$E$7),_xlfn.XLOOKUP(M$1,Capacity!$D$3:$D$7,Capacity!$F$3:$F$7)-R293,0)</f>
        <v>0</v>
      </c>
      <c r="N293">
        <f>IF(S293&lt;_xlfn.XLOOKUP(N$1,Capacity!$D$3:$D$7,Capacity!$E$3:$E$7),_xlfn.XLOOKUP(N$1,Capacity!$D$3:$D$7,Capacity!$F$3:$F$7)-S293,0)</f>
        <v>0</v>
      </c>
      <c r="O293">
        <f>IF(T293&lt;_xlfn.XLOOKUP(O$1,Capacity!$D$3:$D$7,Capacity!$E$3:$E$7),_xlfn.XLOOKUP(O$1,Capacity!$D$3:$D$7,Capacity!$F$3:$F$7)-T293,0)</f>
        <v>0</v>
      </c>
      <c r="P293">
        <f>IF(U293&lt;_xlfn.XLOOKUP(P$1,Capacity!$D$3:$D$7,Capacity!$E$3:$E$7),_xlfn.XLOOKUP(P$1,Capacity!$D$3:$D$7,Capacity!$F$3:$F$7)-U293,0)</f>
        <v>0</v>
      </c>
      <c r="Q293">
        <f t="shared" si="25"/>
        <v>774</v>
      </c>
      <c r="R293">
        <f t="shared" si="26"/>
        <v>12017</v>
      </c>
      <c r="S293">
        <f t="shared" si="27"/>
        <v>2614</v>
      </c>
      <c r="T293">
        <f t="shared" si="28"/>
        <v>1697</v>
      </c>
      <c r="U293">
        <f t="shared" si="29"/>
        <v>6594</v>
      </c>
    </row>
    <row r="294" spans="1:21">
      <c r="A294" s="5">
        <f t="shared" si="30"/>
        <v>46315</v>
      </c>
      <c r="B294">
        <f>SUMIFS('Demand Projection'!$D$2:$D$169,'Demand Projection'!$B$2:$B$169,B$1,'Demand Projection'!$C$2:$C$169,$A294)</f>
        <v>0</v>
      </c>
      <c r="C294">
        <f>SUMIFS('Demand Projection'!$D$2:$D$169,'Demand Projection'!$B$2:$B$169,C$1,'Demand Projection'!$C$2:$C$169,$A294)</f>
        <v>0</v>
      </c>
      <c r="D294">
        <f>SUMIFS('Demand Projection'!$D$2:$D$169,'Demand Projection'!$B$2:$B$169,D$1,'Demand Projection'!$C$2:$C$169,$A294)</f>
        <v>491</v>
      </c>
      <c r="E294">
        <f>SUMIFS('Demand Projection'!$D$2:$D$169,'Demand Projection'!$B$2:$B$169,E$1,'Demand Projection'!$C$2:$C$169,$A294)</f>
        <v>0</v>
      </c>
      <c r="F294">
        <f>SUMIFS('Demand Projection'!$D$2:$D$169,'Demand Projection'!$B$2:$B$169,F$1,'Demand Projection'!$C$2:$C$169,$A294)</f>
        <v>0</v>
      </c>
      <c r="G294" cm="1">
        <f t="array" ref="G294">Q293+IF(ROW()-3&lt;2,0,INDEX(L:L,ROW()-3))</f>
        <v>774</v>
      </c>
      <c r="H294" cm="1">
        <f t="array" ref="H294">R293+IF(ROW()-3&lt;2,0,INDEX(M:M,ROW()-3))</f>
        <v>12017</v>
      </c>
      <c r="I294" cm="1">
        <f t="array" ref="I294">S293+IF(ROW()-3&lt;2,0,INDEX(N:N,ROW()-3))</f>
        <v>2614</v>
      </c>
      <c r="J294" cm="1">
        <f t="array" ref="J294">T293+IF(ROW()-3&lt;2,0,INDEX(O:O,ROW()-3))</f>
        <v>1697</v>
      </c>
      <c r="K294" cm="1">
        <f t="array" ref="K294">U293+IF(ROW()-3&lt;2,0,INDEX(P:P,ROW()-3))</f>
        <v>6594</v>
      </c>
      <c r="L294">
        <f>IF(Q294&lt;_xlfn.XLOOKUP(L$1,Capacity!$D$3:$D$7,Capacity!$E$3:$E$7),_xlfn.XLOOKUP(L$1,Capacity!$D$3:$D$7,Capacity!$F$3:$F$7)-Q294,0)</f>
        <v>0</v>
      </c>
      <c r="M294">
        <f>IF(R294&lt;_xlfn.XLOOKUP(M$1,Capacity!$D$3:$D$7,Capacity!$E$3:$E$7),_xlfn.XLOOKUP(M$1,Capacity!$D$3:$D$7,Capacity!$F$3:$F$7)-R294,0)</f>
        <v>0</v>
      </c>
      <c r="N294">
        <f>IF(S294&lt;_xlfn.XLOOKUP(N$1,Capacity!$D$3:$D$7,Capacity!$E$3:$E$7),_xlfn.XLOOKUP(N$1,Capacity!$D$3:$D$7,Capacity!$F$3:$F$7)-S294,0)</f>
        <v>0</v>
      </c>
      <c r="O294">
        <f>IF(T294&lt;_xlfn.XLOOKUP(O$1,Capacity!$D$3:$D$7,Capacity!$E$3:$E$7),_xlfn.XLOOKUP(O$1,Capacity!$D$3:$D$7,Capacity!$F$3:$F$7)-T294,0)</f>
        <v>0</v>
      </c>
      <c r="P294">
        <f>IF(U294&lt;_xlfn.XLOOKUP(P$1,Capacity!$D$3:$D$7,Capacity!$E$3:$E$7),_xlfn.XLOOKUP(P$1,Capacity!$D$3:$D$7,Capacity!$F$3:$F$7)-U294,0)</f>
        <v>0</v>
      </c>
      <c r="Q294">
        <f t="shared" si="25"/>
        <v>774</v>
      </c>
      <c r="R294">
        <f t="shared" si="26"/>
        <v>12017</v>
      </c>
      <c r="S294">
        <f t="shared" si="27"/>
        <v>2123</v>
      </c>
      <c r="T294">
        <f t="shared" si="28"/>
        <v>1697</v>
      </c>
      <c r="U294">
        <f t="shared" si="29"/>
        <v>6594</v>
      </c>
    </row>
    <row r="295" spans="1:21">
      <c r="A295" s="5">
        <f t="shared" si="30"/>
        <v>46316</v>
      </c>
      <c r="B295">
        <f>SUMIFS('Demand Projection'!$D$2:$D$169,'Demand Projection'!$B$2:$B$169,B$1,'Demand Projection'!$C$2:$C$169,$A295)</f>
        <v>0</v>
      </c>
      <c r="C295">
        <f>SUMIFS('Demand Projection'!$D$2:$D$169,'Demand Projection'!$B$2:$B$169,C$1,'Demand Projection'!$C$2:$C$169,$A295)</f>
        <v>0</v>
      </c>
      <c r="D295">
        <f>SUMIFS('Demand Projection'!$D$2:$D$169,'Demand Projection'!$B$2:$B$169,D$1,'Demand Projection'!$C$2:$C$169,$A295)</f>
        <v>0</v>
      </c>
      <c r="E295">
        <f>SUMIFS('Demand Projection'!$D$2:$D$169,'Demand Projection'!$B$2:$B$169,E$1,'Demand Projection'!$C$2:$C$169,$A295)</f>
        <v>0</v>
      </c>
      <c r="F295">
        <f>SUMIFS('Demand Projection'!$D$2:$D$169,'Demand Projection'!$B$2:$B$169,F$1,'Demand Projection'!$C$2:$C$169,$A295)</f>
        <v>0</v>
      </c>
      <c r="G295" cm="1">
        <f t="array" ref="G295">Q294+IF(ROW()-3&lt;2,0,INDEX(L:L,ROW()-3))</f>
        <v>774</v>
      </c>
      <c r="H295" cm="1">
        <f t="array" ref="H295">R294+IF(ROW()-3&lt;2,0,INDEX(M:M,ROW()-3))</f>
        <v>12017</v>
      </c>
      <c r="I295" cm="1">
        <f t="array" ref="I295">S294+IF(ROW()-3&lt;2,0,INDEX(N:N,ROW()-3))</f>
        <v>2123</v>
      </c>
      <c r="J295" cm="1">
        <f t="array" ref="J295">T294+IF(ROW()-3&lt;2,0,INDEX(O:O,ROW()-3))</f>
        <v>1697</v>
      </c>
      <c r="K295" cm="1">
        <f t="array" ref="K295">U294+IF(ROW()-3&lt;2,0,INDEX(P:P,ROW()-3))</f>
        <v>6594</v>
      </c>
      <c r="L295">
        <f>IF(Q295&lt;_xlfn.XLOOKUP(L$1,Capacity!$D$3:$D$7,Capacity!$E$3:$E$7),_xlfn.XLOOKUP(L$1,Capacity!$D$3:$D$7,Capacity!$F$3:$F$7)-Q295,0)</f>
        <v>0</v>
      </c>
      <c r="M295">
        <f>IF(R295&lt;_xlfn.XLOOKUP(M$1,Capacity!$D$3:$D$7,Capacity!$E$3:$E$7),_xlfn.XLOOKUP(M$1,Capacity!$D$3:$D$7,Capacity!$F$3:$F$7)-R295,0)</f>
        <v>0</v>
      </c>
      <c r="N295">
        <f>IF(S295&lt;_xlfn.XLOOKUP(N$1,Capacity!$D$3:$D$7,Capacity!$E$3:$E$7),_xlfn.XLOOKUP(N$1,Capacity!$D$3:$D$7,Capacity!$F$3:$F$7)-S295,0)</f>
        <v>0</v>
      </c>
      <c r="O295">
        <f>IF(T295&lt;_xlfn.XLOOKUP(O$1,Capacity!$D$3:$D$7,Capacity!$E$3:$E$7),_xlfn.XLOOKUP(O$1,Capacity!$D$3:$D$7,Capacity!$F$3:$F$7)-T295,0)</f>
        <v>0</v>
      </c>
      <c r="P295">
        <f>IF(U295&lt;_xlfn.XLOOKUP(P$1,Capacity!$D$3:$D$7,Capacity!$E$3:$E$7),_xlfn.XLOOKUP(P$1,Capacity!$D$3:$D$7,Capacity!$F$3:$F$7)-U295,0)</f>
        <v>0</v>
      </c>
      <c r="Q295">
        <f t="shared" si="25"/>
        <v>774</v>
      </c>
      <c r="R295">
        <f t="shared" si="26"/>
        <v>12017</v>
      </c>
      <c r="S295">
        <f t="shared" si="27"/>
        <v>2123</v>
      </c>
      <c r="T295">
        <f t="shared" si="28"/>
        <v>1697</v>
      </c>
      <c r="U295">
        <f t="shared" si="29"/>
        <v>6594</v>
      </c>
    </row>
    <row r="296" spans="1:21">
      <c r="A296" s="5">
        <f t="shared" si="30"/>
        <v>46317</v>
      </c>
      <c r="B296">
        <f>SUMIFS('Demand Projection'!$D$2:$D$169,'Demand Projection'!$B$2:$B$169,B$1,'Demand Projection'!$C$2:$C$169,$A296)</f>
        <v>0</v>
      </c>
      <c r="C296">
        <f>SUMIFS('Demand Projection'!$D$2:$D$169,'Demand Projection'!$B$2:$B$169,C$1,'Demand Projection'!$C$2:$C$169,$A296)</f>
        <v>0</v>
      </c>
      <c r="D296">
        <f>SUMIFS('Demand Projection'!$D$2:$D$169,'Demand Projection'!$B$2:$B$169,D$1,'Demand Projection'!$C$2:$C$169,$A296)</f>
        <v>0</v>
      </c>
      <c r="E296">
        <f>SUMIFS('Demand Projection'!$D$2:$D$169,'Demand Projection'!$B$2:$B$169,E$1,'Demand Projection'!$C$2:$C$169,$A296)</f>
        <v>0</v>
      </c>
      <c r="F296">
        <f>SUMIFS('Demand Projection'!$D$2:$D$169,'Demand Projection'!$B$2:$B$169,F$1,'Demand Projection'!$C$2:$C$169,$A296)</f>
        <v>0</v>
      </c>
      <c r="G296" cm="1">
        <f t="array" ref="G296">Q295+IF(ROW()-3&lt;2,0,INDEX(L:L,ROW()-3))</f>
        <v>774</v>
      </c>
      <c r="H296" cm="1">
        <f t="array" ref="H296">R295+IF(ROW()-3&lt;2,0,INDEX(M:M,ROW()-3))</f>
        <v>12017</v>
      </c>
      <c r="I296" cm="1">
        <f t="array" ref="I296">S295+IF(ROW()-3&lt;2,0,INDEX(N:N,ROW()-3))</f>
        <v>2123</v>
      </c>
      <c r="J296" cm="1">
        <f t="array" ref="J296">T295+IF(ROW()-3&lt;2,0,INDEX(O:O,ROW()-3))</f>
        <v>1697</v>
      </c>
      <c r="K296" cm="1">
        <f t="array" ref="K296">U295+IF(ROW()-3&lt;2,0,INDEX(P:P,ROW()-3))</f>
        <v>6594</v>
      </c>
      <c r="L296">
        <f>IF(Q296&lt;_xlfn.XLOOKUP(L$1,Capacity!$D$3:$D$7,Capacity!$E$3:$E$7),_xlfn.XLOOKUP(L$1,Capacity!$D$3:$D$7,Capacity!$F$3:$F$7)-Q296,0)</f>
        <v>0</v>
      </c>
      <c r="M296">
        <f>IF(R296&lt;_xlfn.XLOOKUP(M$1,Capacity!$D$3:$D$7,Capacity!$E$3:$E$7),_xlfn.XLOOKUP(M$1,Capacity!$D$3:$D$7,Capacity!$F$3:$F$7)-R296,0)</f>
        <v>0</v>
      </c>
      <c r="N296">
        <f>IF(S296&lt;_xlfn.XLOOKUP(N$1,Capacity!$D$3:$D$7,Capacity!$E$3:$E$7),_xlfn.XLOOKUP(N$1,Capacity!$D$3:$D$7,Capacity!$F$3:$F$7)-S296,0)</f>
        <v>0</v>
      </c>
      <c r="O296">
        <f>IF(T296&lt;_xlfn.XLOOKUP(O$1,Capacity!$D$3:$D$7,Capacity!$E$3:$E$7),_xlfn.XLOOKUP(O$1,Capacity!$D$3:$D$7,Capacity!$F$3:$F$7)-T296,0)</f>
        <v>0</v>
      </c>
      <c r="P296">
        <f>IF(U296&lt;_xlfn.XLOOKUP(P$1,Capacity!$D$3:$D$7,Capacity!$E$3:$E$7),_xlfn.XLOOKUP(P$1,Capacity!$D$3:$D$7,Capacity!$F$3:$F$7)-U296,0)</f>
        <v>0</v>
      </c>
      <c r="Q296">
        <f t="shared" si="25"/>
        <v>774</v>
      </c>
      <c r="R296">
        <f t="shared" si="26"/>
        <v>12017</v>
      </c>
      <c r="S296">
        <f t="shared" si="27"/>
        <v>2123</v>
      </c>
      <c r="T296">
        <f t="shared" si="28"/>
        <v>1697</v>
      </c>
      <c r="U296">
        <f t="shared" si="29"/>
        <v>6594</v>
      </c>
    </row>
    <row r="297" spans="1:21">
      <c r="A297" s="5">
        <f t="shared" si="30"/>
        <v>46318</v>
      </c>
      <c r="B297">
        <f>SUMIFS('Demand Projection'!$D$2:$D$169,'Demand Projection'!$B$2:$B$169,B$1,'Demand Projection'!$C$2:$C$169,$A297)</f>
        <v>0</v>
      </c>
      <c r="C297">
        <f>SUMIFS('Demand Projection'!$D$2:$D$169,'Demand Projection'!$B$2:$B$169,C$1,'Demand Projection'!$C$2:$C$169,$A297)</f>
        <v>0</v>
      </c>
      <c r="D297">
        <f>SUMIFS('Demand Projection'!$D$2:$D$169,'Demand Projection'!$B$2:$B$169,D$1,'Demand Projection'!$C$2:$C$169,$A297)</f>
        <v>0</v>
      </c>
      <c r="E297">
        <f>SUMIFS('Demand Projection'!$D$2:$D$169,'Demand Projection'!$B$2:$B$169,E$1,'Demand Projection'!$C$2:$C$169,$A297)</f>
        <v>0</v>
      </c>
      <c r="F297">
        <f>SUMIFS('Demand Projection'!$D$2:$D$169,'Demand Projection'!$B$2:$B$169,F$1,'Demand Projection'!$C$2:$C$169,$A297)</f>
        <v>0</v>
      </c>
      <c r="G297" cm="1">
        <f t="array" ref="G297">Q296+IF(ROW()-3&lt;2,0,INDEX(L:L,ROW()-3))</f>
        <v>774</v>
      </c>
      <c r="H297" cm="1">
        <f t="array" ref="H297">R296+IF(ROW()-3&lt;2,0,INDEX(M:M,ROW()-3))</f>
        <v>12017</v>
      </c>
      <c r="I297" cm="1">
        <f t="array" ref="I297">S296+IF(ROW()-3&lt;2,0,INDEX(N:N,ROW()-3))</f>
        <v>2123</v>
      </c>
      <c r="J297" cm="1">
        <f t="array" ref="J297">T296+IF(ROW()-3&lt;2,0,INDEX(O:O,ROW()-3))</f>
        <v>1697</v>
      </c>
      <c r="K297" cm="1">
        <f t="array" ref="K297">U296+IF(ROW()-3&lt;2,0,INDEX(P:P,ROW()-3))</f>
        <v>6594</v>
      </c>
      <c r="L297">
        <f>IF(Q297&lt;_xlfn.XLOOKUP(L$1,Capacity!$D$3:$D$7,Capacity!$E$3:$E$7),_xlfn.XLOOKUP(L$1,Capacity!$D$3:$D$7,Capacity!$F$3:$F$7)-Q297,0)</f>
        <v>0</v>
      </c>
      <c r="M297">
        <f>IF(R297&lt;_xlfn.XLOOKUP(M$1,Capacity!$D$3:$D$7,Capacity!$E$3:$E$7),_xlfn.XLOOKUP(M$1,Capacity!$D$3:$D$7,Capacity!$F$3:$F$7)-R297,0)</f>
        <v>0</v>
      </c>
      <c r="N297">
        <f>IF(S297&lt;_xlfn.XLOOKUP(N$1,Capacity!$D$3:$D$7,Capacity!$E$3:$E$7),_xlfn.XLOOKUP(N$1,Capacity!$D$3:$D$7,Capacity!$F$3:$F$7)-S297,0)</f>
        <v>0</v>
      </c>
      <c r="O297">
        <f>IF(T297&lt;_xlfn.XLOOKUP(O$1,Capacity!$D$3:$D$7,Capacity!$E$3:$E$7),_xlfn.XLOOKUP(O$1,Capacity!$D$3:$D$7,Capacity!$F$3:$F$7)-T297,0)</f>
        <v>0</v>
      </c>
      <c r="P297">
        <f>IF(U297&lt;_xlfn.XLOOKUP(P$1,Capacity!$D$3:$D$7,Capacity!$E$3:$E$7),_xlfn.XLOOKUP(P$1,Capacity!$D$3:$D$7,Capacity!$F$3:$F$7)-U297,0)</f>
        <v>0</v>
      </c>
      <c r="Q297">
        <f t="shared" si="25"/>
        <v>774</v>
      </c>
      <c r="R297">
        <f t="shared" si="26"/>
        <v>12017</v>
      </c>
      <c r="S297">
        <f t="shared" si="27"/>
        <v>2123</v>
      </c>
      <c r="T297">
        <f t="shared" si="28"/>
        <v>1697</v>
      </c>
      <c r="U297">
        <f t="shared" si="29"/>
        <v>6594</v>
      </c>
    </row>
    <row r="298" spans="1:21">
      <c r="A298" s="5">
        <f t="shared" si="30"/>
        <v>46319</v>
      </c>
      <c r="B298">
        <f>SUMIFS('Demand Projection'!$D$2:$D$169,'Demand Projection'!$B$2:$B$169,B$1,'Demand Projection'!$C$2:$C$169,$A298)</f>
        <v>678</v>
      </c>
      <c r="C298">
        <f>SUMIFS('Demand Projection'!$D$2:$D$169,'Demand Projection'!$B$2:$B$169,C$1,'Demand Projection'!$C$2:$C$169,$A298)</f>
        <v>0</v>
      </c>
      <c r="D298">
        <f>SUMIFS('Demand Projection'!$D$2:$D$169,'Demand Projection'!$B$2:$B$169,D$1,'Demand Projection'!$C$2:$C$169,$A298)</f>
        <v>0</v>
      </c>
      <c r="E298">
        <f>SUMIFS('Demand Projection'!$D$2:$D$169,'Demand Projection'!$B$2:$B$169,E$1,'Demand Projection'!$C$2:$C$169,$A298)</f>
        <v>0</v>
      </c>
      <c r="F298">
        <f>SUMIFS('Demand Projection'!$D$2:$D$169,'Demand Projection'!$B$2:$B$169,F$1,'Demand Projection'!$C$2:$C$169,$A298)</f>
        <v>0</v>
      </c>
      <c r="G298" cm="1">
        <f t="array" ref="G298">Q297+IF(ROW()-3&lt;2,0,INDEX(L:L,ROW()-3))</f>
        <v>774</v>
      </c>
      <c r="H298" cm="1">
        <f t="array" ref="H298">R297+IF(ROW()-3&lt;2,0,INDEX(M:M,ROW()-3))</f>
        <v>12017</v>
      </c>
      <c r="I298" cm="1">
        <f t="array" ref="I298">S297+IF(ROW()-3&lt;2,0,INDEX(N:N,ROW()-3))</f>
        <v>2123</v>
      </c>
      <c r="J298" cm="1">
        <f t="array" ref="J298">T297+IF(ROW()-3&lt;2,0,INDEX(O:O,ROW()-3))</f>
        <v>1697</v>
      </c>
      <c r="K298" cm="1">
        <f t="array" ref="K298">U297+IF(ROW()-3&lt;2,0,INDEX(P:P,ROW()-3))</f>
        <v>6594</v>
      </c>
      <c r="L298">
        <f>IF(Q298&lt;_xlfn.XLOOKUP(L$1,Capacity!$D$3:$D$7,Capacity!$E$3:$E$7),_xlfn.XLOOKUP(L$1,Capacity!$D$3:$D$7,Capacity!$F$3:$F$7)-Q298,0)</f>
        <v>2536</v>
      </c>
      <c r="M298">
        <f>IF(R298&lt;_xlfn.XLOOKUP(M$1,Capacity!$D$3:$D$7,Capacity!$E$3:$E$7),_xlfn.XLOOKUP(M$1,Capacity!$D$3:$D$7,Capacity!$F$3:$F$7)-R298,0)</f>
        <v>0</v>
      </c>
      <c r="N298">
        <f>IF(S298&lt;_xlfn.XLOOKUP(N$1,Capacity!$D$3:$D$7,Capacity!$E$3:$E$7),_xlfn.XLOOKUP(N$1,Capacity!$D$3:$D$7,Capacity!$F$3:$F$7)-S298,0)</f>
        <v>0</v>
      </c>
      <c r="O298">
        <f>IF(T298&lt;_xlfn.XLOOKUP(O$1,Capacity!$D$3:$D$7,Capacity!$E$3:$E$7),_xlfn.XLOOKUP(O$1,Capacity!$D$3:$D$7,Capacity!$F$3:$F$7)-T298,0)</f>
        <v>0</v>
      </c>
      <c r="P298">
        <f>IF(U298&lt;_xlfn.XLOOKUP(P$1,Capacity!$D$3:$D$7,Capacity!$E$3:$E$7),_xlfn.XLOOKUP(P$1,Capacity!$D$3:$D$7,Capacity!$F$3:$F$7)-U298,0)</f>
        <v>0</v>
      </c>
      <c r="Q298">
        <f t="shared" si="25"/>
        <v>96</v>
      </c>
      <c r="R298">
        <f t="shared" si="26"/>
        <v>12017</v>
      </c>
      <c r="S298">
        <f t="shared" si="27"/>
        <v>2123</v>
      </c>
      <c r="T298">
        <f t="shared" si="28"/>
        <v>1697</v>
      </c>
      <c r="U298">
        <f t="shared" si="29"/>
        <v>6594</v>
      </c>
    </row>
    <row r="299" spans="1:21">
      <c r="A299" s="5">
        <f t="shared" si="30"/>
        <v>46320</v>
      </c>
      <c r="B299">
        <f>SUMIFS('Demand Projection'!$D$2:$D$169,'Demand Projection'!$B$2:$B$169,B$1,'Demand Projection'!$C$2:$C$169,$A299)</f>
        <v>0</v>
      </c>
      <c r="C299">
        <f>SUMIFS('Demand Projection'!$D$2:$D$169,'Demand Projection'!$B$2:$B$169,C$1,'Demand Projection'!$C$2:$C$169,$A299)</f>
        <v>0</v>
      </c>
      <c r="D299">
        <f>SUMIFS('Demand Projection'!$D$2:$D$169,'Demand Projection'!$B$2:$B$169,D$1,'Demand Projection'!$C$2:$C$169,$A299)</f>
        <v>0</v>
      </c>
      <c r="E299">
        <f>SUMIFS('Demand Projection'!$D$2:$D$169,'Demand Projection'!$B$2:$B$169,E$1,'Demand Projection'!$C$2:$C$169,$A299)</f>
        <v>0</v>
      </c>
      <c r="F299">
        <f>SUMIFS('Demand Projection'!$D$2:$D$169,'Demand Projection'!$B$2:$B$169,F$1,'Demand Projection'!$C$2:$C$169,$A299)</f>
        <v>0</v>
      </c>
      <c r="G299" cm="1">
        <f t="array" ref="G299">Q298+IF(ROW()-3&lt;2,0,INDEX(L:L,ROW()-3))</f>
        <v>96</v>
      </c>
      <c r="H299" cm="1">
        <f t="array" ref="H299">R298+IF(ROW()-3&lt;2,0,INDEX(M:M,ROW()-3))</f>
        <v>12017</v>
      </c>
      <c r="I299" cm="1">
        <f t="array" ref="I299">S298+IF(ROW()-3&lt;2,0,INDEX(N:N,ROW()-3))</f>
        <v>2123</v>
      </c>
      <c r="J299" cm="1">
        <f t="array" ref="J299">T298+IF(ROW()-3&lt;2,0,INDEX(O:O,ROW()-3))</f>
        <v>1697</v>
      </c>
      <c r="K299" cm="1">
        <f t="array" ref="K299">U298+IF(ROW()-3&lt;2,0,INDEX(P:P,ROW()-3))</f>
        <v>6594</v>
      </c>
      <c r="L299">
        <f>IF(Q299&lt;_xlfn.XLOOKUP(L$1,Capacity!$D$3:$D$7,Capacity!$E$3:$E$7),_xlfn.XLOOKUP(L$1,Capacity!$D$3:$D$7,Capacity!$F$3:$F$7)-Q299,0)</f>
        <v>2536</v>
      </c>
      <c r="M299">
        <f>IF(R299&lt;_xlfn.XLOOKUP(M$1,Capacity!$D$3:$D$7,Capacity!$E$3:$E$7),_xlfn.XLOOKUP(M$1,Capacity!$D$3:$D$7,Capacity!$F$3:$F$7)-R299,0)</f>
        <v>0</v>
      </c>
      <c r="N299">
        <f>IF(S299&lt;_xlfn.XLOOKUP(N$1,Capacity!$D$3:$D$7,Capacity!$E$3:$E$7),_xlfn.XLOOKUP(N$1,Capacity!$D$3:$D$7,Capacity!$F$3:$F$7)-S299,0)</f>
        <v>0</v>
      </c>
      <c r="O299">
        <f>IF(T299&lt;_xlfn.XLOOKUP(O$1,Capacity!$D$3:$D$7,Capacity!$E$3:$E$7),_xlfn.XLOOKUP(O$1,Capacity!$D$3:$D$7,Capacity!$F$3:$F$7)-T299,0)</f>
        <v>0</v>
      </c>
      <c r="P299">
        <f>IF(U299&lt;_xlfn.XLOOKUP(P$1,Capacity!$D$3:$D$7,Capacity!$E$3:$E$7),_xlfn.XLOOKUP(P$1,Capacity!$D$3:$D$7,Capacity!$F$3:$F$7)-U299,0)</f>
        <v>0</v>
      </c>
      <c r="Q299">
        <f t="shared" si="25"/>
        <v>96</v>
      </c>
      <c r="R299">
        <f t="shared" si="26"/>
        <v>12017</v>
      </c>
      <c r="S299">
        <f t="shared" si="27"/>
        <v>2123</v>
      </c>
      <c r="T299">
        <f t="shared" si="28"/>
        <v>1697</v>
      </c>
      <c r="U299">
        <f t="shared" si="29"/>
        <v>6594</v>
      </c>
    </row>
    <row r="300" spans="1:21">
      <c r="A300" s="5">
        <f t="shared" si="30"/>
        <v>46321</v>
      </c>
      <c r="B300">
        <f>SUMIFS('Demand Projection'!$D$2:$D$169,'Demand Projection'!$B$2:$B$169,B$1,'Demand Projection'!$C$2:$C$169,$A300)</f>
        <v>0</v>
      </c>
      <c r="C300">
        <f>SUMIFS('Demand Projection'!$D$2:$D$169,'Demand Projection'!$B$2:$B$169,C$1,'Demand Projection'!$C$2:$C$169,$A300)</f>
        <v>0</v>
      </c>
      <c r="D300">
        <f>SUMIFS('Demand Projection'!$D$2:$D$169,'Demand Projection'!$B$2:$B$169,D$1,'Demand Projection'!$C$2:$C$169,$A300)</f>
        <v>0</v>
      </c>
      <c r="E300">
        <f>SUMIFS('Demand Projection'!$D$2:$D$169,'Demand Projection'!$B$2:$B$169,E$1,'Demand Projection'!$C$2:$C$169,$A300)</f>
        <v>0</v>
      </c>
      <c r="F300">
        <f>SUMIFS('Demand Projection'!$D$2:$D$169,'Demand Projection'!$B$2:$B$169,F$1,'Demand Projection'!$C$2:$C$169,$A300)</f>
        <v>0</v>
      </c>
      <c r="G300" cm="1">
        <f t="array" ref="G300">Q299+IF(ROW()-3&lt;2,0,INDEX(L:L,ROW()-3))</f>
        <v>96</v>
      </c>
      <c r="H300" cm="1">
        <f t="array" ref="H300">R299+IF(ROW()-3&lt;2,0,INDEX(M:M,ROW()-3))</f>
        <v>12017</v>
      </c>
      <c r="I300" cm="1">
        <f t="array" ref="I300">S299+IF(ROW()-3&lt;2,0,INDEX(N:N,ROW()-3))</f>
        <v>2123</v>
      </c>
      <c r="J300" cm="1">
        <f t="array" ref="J300">T299+IF(ROW()-3&lt;2,0,INDEX(O:O,ROW()-3))</f>
        <v>1697</v>
      </c>
      <c r="K300" cm="1">
        <f t="array" ref="K300">U299+IF(ROW()-3&lt;2,0,INDEX(P:P,ROW()-3))</f>
        <v>6594</v>
      </c>
      <c r="L300">
        <f>IF(Q300&lt;_xlfn.XLOOKUP(L$1,Capacity!$D$3:$D$7,Capacity!$E$3:$E$7),_xlfn.XLOOKUP(L$1,Capacity!$D$3:$D$7,Capacity!$F$3:$F$7)-Q300,0)</f>
        <v>2536</v>
      </c>
      <c r="M300">
        <f>IF(R300&lt;_xlfn.XLOOKUP(M$1,Capacity!$D$3:$D$7,Capacity!$E$3:$E$7),_xlfn.XLOOKUP(M$1,Capacity!$D$3:$D$7,Capacity!$F$3:$F$7)-R300,0)</f>
        <v>0</v>
      </c>
      <c r="N300">
        <f>IF(S300&lt;_xlfn.XLOOKUP(N$1,Capacity!$D$3:$D$7,Capacity!$E$3:$E$7),_xlfn.XLOOKUP(N$1,Capacity!$D$3:$D$7,Capacity!$F$3:$F$7)-S300,0)</f>
        <v>0</v>
      </c>
      <c r="O300">
        <f>IF(T300&lt;_xlfn.XLOOKUP(O$1,Capacity!$D$3:$D$7,Capacity!$E$3:$E$7),_xlfn.XLOOKUP(O$1,Capacity!$D$3:$D$7,Capacity!$F$3:$F$7)-T300,0)</f>
        <v>0</v>
      </c>
      <c r="P300">
        <f>IF(U300&lt;_xlfn.XLOOKUP(P$1,Capacity!$D$3:$D$7,Capacity!$E$3:$E$7),_xlfn.XLOOKUP(P$1,Capacity!$D$3:$D$7,Capacity!$F$3:$F$7)-U300,0)</f>
        <v>0</v>
      </c>
      <c r="Q300">
        <f t="shared" si="25"/>
        <v>96</v>
      </c>
      <c r="R300">
        <f t="shared" si="26"/>
        <v>12017</v>
      </c>
      <c r="S300">
        <f t="shared" si="27"/>
        <v>2123</v>
      </c>
      <c r="T300">
        <f t="shared" si="28"/>
        <v>1697</v>
      </c>
      <c r="U300">
        <f t="shared" si="29"/>
        <v>6594</v>
      </c>
    </row>
    <row r="301" spans="1:21">
      <c r="A301" s="5">
        <f t="shared" si="30"/>
        <v>46322</v>
      </c>
      <c r="B301">
        <f>SUMIFS('Demand Projection'!$D$2:$D$169,'Demand Projection'!$B$2:$B$169,B$1,'Demand Projection'!$C$2:$C$169,$A301)</f>
        <v>0</v>
      </c>
      <c r="C301">
        <f>SUMIFS('Demand Projection'!$D$2:$D$169,'Demand Projection'!$B$2:$B$169,C$1,'Demand Projection'!$C$2:$C$169,$A301)</f>
        <v>0</v>
      </c>
      <c r="D301">
        <f>SUMIFS('Demand Projection'!$D$2:$D$169,'Demand Projection'!$B$2:$B$169,D$1,'Demand Projection'!$C$2:$C$169,$A301)</f>
        <v>0</v>
      </c>
      <c r="E301">
        <f>SUMIFS('Demand Projection'!$D$2:$D$169,'Demand Projection'!$B$2:$B$169,E$1,'Demand Projection'!$C$2:$C$169,$A301)</f>
        <v>0</v>
      </c>
      <c r="F301">
        <f>SUMIFS('Demand Projection'!$D$2:$D$169,'Demand Projection'!$B$2:$B$169,F$1,'Demand Projection'!$C$2:$C$169,$A301)</f>
        <v>0</v>
      </c>
      <c r="G301" cm="1">
        <f t="array" ref="G301">Q300+IF(ROW()-3&lt;2,0,INDEX(L:L,ROW()-3))</f>
        <v>2632</v>
      </c>
      <c r="H301" cm="1">
        <f t="array" ref="H301">R300+IF(ROW()-3&lt;2,0,INDEX(M:M,ROW()-3))</f>
        <v>12017</v>
      </c>
      <c r="I301" cm="1">
        <f t="array" ref="I301">S300+IF(ROW()-3&lt;2,0,INDEX(N:N,ROW()-3))</f>
        <v>2123</v>
      </c>
      <c r="J301" cm="1">
        <f t="array" ref="J301">T300+IF(ROW()-3&lt;2,0,INDEX(O:O,ROW()-3))</f>
        <v>1697</v>
      </c>
      <c r="K301" cm="1">
        <f t="array" ref="K301">U300+IF(ROW()-3&lt;2,0,INDEX(P:P,ROW()-3))</f>
        <v>6594</v>
      </c>
      <c r="L301">
        <f>IF(Q301&lt;_xlfn.XLOOKUP(L$1,Capacity!$D$3:$D$7,Capacity!$E$3:$E$7),_xlfn.XLOOKUP(L$1,Capacity!$D$3:$D$7,Capacity!$F$3:$F$7)-Q301,0)</f>
        <v>0</v>
      </c>
      <c r="M301">
        <f>IF(R301&lt;_xlfn.XLOOKUP(M$1,Capacity!$D$3:$D$7,Capacity!$E$3:$E$7),_xlfn.XLOOKUP(M$1,Capacity!$D$3:$D$7,Capacity!$F$3:$F$7)-R301,0)</f>
        <v>0</v>
      </c>
      <c r="N301">
        <f>IF(S301&lt;_xlfn.XLOOKUP(N$1,Capacity!$D$3:$D$7,Capacity!$E$3:$E$7),_xlfn.XLOOKUP(N$1,Capacity!$D$3:$D$7,Capacity!$F$3:$F$7)-S301,0)</f>
        <v>0</v>
      </c>
      <c r="O301">
        <f>IF(T301&lt;_xlfn.XLOOKUP(O$1,Capacity!$D$3:$D$7,Capacity!$E$3:$E$7),_xlfn.XLOOKUP(O$1,Capacity!$D$3:$D$7,Capacity!$F$3:$F$7)-T301,0)</f>
        <v>0</v>
      </c>
      <c r="P301">
        <f>IF(U301&lt;_xlfn.XLOOKUP(P$1,Capacity!$D$3:$D$7,Capacity!$E$3:$E$7),_xlfn.XLOOKUP(P$1,Capacity!$D$3:$D$7,Capacity!$F$3:$F$7)-U301,0)</f>
        <v>0</v>
      </c>
      <c r="Q301">
        <f t="shared" si="25"/>
        <v>2632</v>
      </c>
      <c r="R301">
        <f t="shared" si="26"/>
        <v>12017</v>
      </c>
      <c r="S301">
        <f t="shared" si="27"/>
        <v>2123</v>
      </c>
      <c r="T301">
        <f t="shared" si="28"/>
        <v>1697</v>
      </c>
      <c r="U301">
        <f t="shared" si="29"/>
        <v>6594</v>
      </c>
    </row>
    <row r="302" spans="1:21">
      <c r="A302" s="5">
        <f t="shared" si="30"/>
        <v>46323</v>
      </c>
      <c r="B302">
        <f>SUMIFS('Demand Projection'!$D$2:$D$169,'Demand Projection'!$B$2:$B$169,B$1,'Demand Projection'!$C$2:$C$169,$A302)</f>
        <v>0</v>
      </c>
      <c r="C302">
        <f>SUMIFS('Demand Projection'!$D$2:$D$169,'Demand Projection'!$B$2:$B$169,C$1,'Demand Projection'!$C$2:$C$169,$A302)</f>
        <v>0</v>
      </c>
      <c r="D302">
        <f>SUMIFS('Demand Projection'!$D$2:$D$169,'Demand Projection'!$B$2:$B$169,D$1,'Demand Projection'!$C$2:$C$169,$A302)</f>
        <v>0</v>
      </c>
      <c r="E302">
        <f>SUMIFS('Demand Projection'!$D$2:$D$169,'Demand Projection'!$B$2:$B$169,E$1,'Demand Projection'!$C$2:$C$169,$A302)</f>
        <v>2974</v>
      </c>
      <c r="F302">
        <f>SUMIFS('Demand Projection'!$D$2:$D$169,'Demand Projection'!$B$2:$B$169,F$1,'Demand Projection'!$C$2:$C$169,$A302)</f>
        <v>1984</v>
      </c>
      <c r="G302" cm="1">
        <f t="array" ref="G302">Q301+IF(ROW()-3&lt;2,0,INDEX(L:L,ROW()-3))</f>
        <v>5168</v>
      </c>
      <c r="H302" cm="1">
        <f t="array" ref="H302">R301+IF(ROW()-3&lt;2,0,INDEX(M:M,ROW()-3))</f>
        <v>12017</v>
      </c>
      <c r="I302" cm="1">
        <f t="array" ref="I302">S301+IF(ROW()-3&lt;2,0,INDEX(N:N,ROW()-3))</f>
        <v>2123</v>
      </c>
      <c r="J302" cm="1">
        <f t="array" ref="J302">T301+IF(ROW()-3&lt;2,0,INDEX(O:O,ROW()-3))</f>
        <v>1697</v>
      </c>
      <c r="K302" cm="1">
        <f t="array" ref="K302">U301+IF(ROW()-3&lt;2,0,INDEX(P:P,ROW()-3))</f>
        <v>6594</v>
      </c>
      <c r="L302">
        <f>IF(Q302&lt;_xlfn.XLOOKUP(L$1,Capacity!$D$3:$D$7,Capacity!$E$3:$E$7),_xlfn.XLOOKUP(L$1,Capacity!$D$3:$D$7,Capacity!$F$3:$F$7)-Q302,0)</f>
        <v>0</v>
      </c>
      <c r="M302">
        <f>IF(R302&lt;_xlfn.XLOOKUP(M$1,Capacity!$D$3:$D$7,Capacity!$E$3:$E$7),_xlfn.XLOOKUP(M$1,Capacity!$D$3:$D$7,Capacity!$F$3:$F$7)-R302,0)</f>
        <v>0</v>
      </c>
      <c r="N302">
        <f>IF(S302&lt;_xlfn.XLOOKUP(N$1,Capacity!$D$3:$D$7,Capacity!$E$3:$E$7),_xlfn.XLOOKUP(N$1,Capacity!$D$3:$D$7,Capacity!$F$3:$F$7)-S302,0)</f>
        <v>0</v>
      </c>
      <c r="O302">
        <f>IF(T302&lt;_xlfn.XLOOKUP(O$1,Capacity!$D$3:$D$7,Capacity!$E$3:$E$7),_xlfn.XLOOKUP(O$1,Capacity!$D$3:$D$7,Capacity!$F$3:$F$7)-T302,0)</f>
        <v>4551</v>
      </c>
      <c r="P302">
        <f>IF(U302&lt;_xlfn.XLOOKUP(P$1,Capacity!$D$3:$D$7,Capacity!$E$3:$E$7),_xlfn.XLOOKUP(P$1,Capacity!$D$3:$D$7,Capacity!$F$3:$F$7)-U302,0)</f>
        <v>0</v>
      </c>
      <c r="Q302">
        <f t="shared" si="25"/>
        <v>5168</v>
      </c>
      <c r="R302">
        <f t="shared" si="26"/>
        <v>12017</v>
      </c>
      <c r="S302">
        <f t="shared" si="27"/>
        <v>2123</v>
      </c>
      <c r="T302">
        <f t="shared" si="28"/>
        <v>-1277</v>
      </c>
      <c r="U302">
        <f t="shared" si="29"/>
        <v>4610</v>
      </c>
    </row>
    <row r="303" spans="1:21">
      <c r="A303" s="5">
        <f t="shared" si="30"/>
        <v>46324</v>
      </c>
      <c r="B303">
        <f>SUMIFS('Demand Projection'!$D$2:$D$169,'Demand Projection'!$B$2:$B$169,B$1,'Demand Projection'!$C$2:$C$169,$A303)</f>
        <v>0</v>
      </c>
      <c r="C303">
        <f>SUMIFS('Demand Projection'!$D$2:$D$169,'Demand Projection'!$B$2:$B$169,C$1,'Demand Projection'!$C$2:$C$169,$A303)</f>
        <v>0</v>
      </c>
      <c r="D303">
        <f>SUMIFS('Demand Projection'!$D$2:$D$169,'Demand Projection'!$B$2:$B$169,D$1,'Demand Projection'!$C$2:$C$169,$A303)</f>
        <v>0</v>
      </c>
      <c r="E303">
        <f>SUMIFS('Demand Projection'!$D$2:$D$169,'Demand Projection'!$B$2:$B$169,E$1,'Demand Projection'!$C$2:$C$169,$A303)</f>
        <v>0</v>
      </c>
      <c r="F303">
        <f>SUMIFS('Demand Projection'!$D$2:$D$169,'Demand Projection'!$B$2:$B$169,F$1,'Demand Projection'!$C$2:$C$169,$A303)</f>
        <v>0</v>
      </c>
      <c r="G303" cm="1">
        <f t="array" ref="G303">Q302+IF(ROW()-3&lt;2,0,INDEX(L:L,ROW()-3))</f>
        <v>7704</v>
      </c>
      <c r="H303" cm="1">
        <f t="array" ref="H303">R302+IF(ROW()-3&lt;2,0,INDEX(M:M,ROW()-3))</f>
        <v>12017</v>
      </c>
      <c r="I303" cm="1">
        <f t="array" ref="I303">S302+IF(ROW()-3&lt;2,0,INDEX(N:N,ROW()-3))</f>
        <v>2123</v>
      </c>
      <c r="J303" cm="1">
        <f t="array" ref="J303">T302+IF(ROW()-3&lt;2,0,INDEX(O:O,ROW()-3))</f>
        <v>-1277</v>
      </c>
      <c r="K303" cm="1">
        <f t="array" ref="K303">U302+IF(ROW()-3&lt;2,0,INDEX(P:P,ROW()-3))</f>
        <v>4610</v>
      </c>
      <c r="L303">
        <f>IF(Q303&lt;_xlfn.XLOOKUP(L$1,Capacity!$D$3:$D$7,Capacity!$E$3:$E$7),_xlfn.XLOOKUP(L$1,Capacity!$D$3:$D$7,Capacity!$F$3:$F$7)-Q303,0)</f>
        <v>0</v>
      </c>
      <c r="M303">
        <f>IF(R303&lt;_xlfn.XLOOKUP(M$1,Capacity!$D$3:$D$7,Capacity!$E$3:$E$7),_xlfn.XLOOKUP(M$1,Capacity!$D$3:$D$7,Capacity!$F$3:$F$7)-R303,0)</f>
        <v>0</v>
      </c>
      <c r="N303">
        <f>IF(S303&lt;_xlfn.XLOOKUP(N$1,Capacity!$D$3:$D$7,Capacity!$E$3:$E$7),_xlfn.XLOOKUP(N$1,Capacity!$D$3:$D$7,Capacity!$F$3:$F$7)-S303,0)</f>
        <v>0</v>
      </c>
      <c r="O303">
        <f>IF(T303&lt;_xlfn.XLOOKUP(O$1,Capacity!$D$3:$D$7,Capacity!$E$3:$E$7),_xlfn.XLOOKUP(O$1,Capacity!$D$3:$D$7,Capacity!$F$3:$F$7)-T303,0)</f>
        <v>4551</v>
      </c>
      <c r="P303">
        <f>IF(U303&lt;_xlfn.XLOOKUP(P$1,Capacity!$D$3:$D$7,Capacity!$E$3:$E$7),_xlfn.XLOOKUP(P$1,Capacity!$D$3:$D$7,Capacity!$F$3:$F$7)-U303,0)</f>
        <v>0</v>
      </c>
      <c r="Q303">
        <f t="shared" si="25"/>
        <v>7704</v>
      </c>
      <c r="R303">
        <f t="shared" si="26"/>
        <v>12017</v>
      </c>
      <c r="S303">
        <f t="shared" si="27"/>
        <v>2123</v>
      </c>
      <c r="T303">
        <f t="shared" si="28"/>
        <v>-1277</v>
      </c>
      <c r="U303">
        <f t="shared" si="29"/>
        <v>4610</v>
      </c>
    </row>
    <row r="304" spans="1:21">
      <c r="A304" s="5">
        <f t="shared" si="30"/>
        <v>46325</v>
      </c>
      <c r="B304">
        <f>SUMIFS('Demand Projection'!$D$2:$D$169,'Demand Projection'!$B$2:$B$169,B$1,'Demand Projection'!$C$2:$C$169,$A304)</f>
        <v>0</v>
      </c>
      <c r="C304">
        <f>SUMIFS('Demand Projection'!$D$2:$D$169,'Demand Projection'!$B$2:$B$169,C$1,'Demand Projection'!$C$2:$C$169,$A304)</f>
        <v>0</v>
      </c>
      <c r="D304">
        <f>SUMIFS('Demand Projection'!$D$2:$D$169,'Demand Projection'!$B$2:$B$169,D$1,'Demand Projection'!$C$2:$C$169,$A304)</f>
        <v>0</v>
      </c>
      <c r="E304">
        <f>SUMIFS('Demand Projection'!$D$2:$D$169,'Demand Projection'!$B$2:$B$169,E$1,'Demand Projection'!$C$2:$C$169,$A304)</f>
        <v>0</v>
      </c>
      <c r="F304">
        <f>SUMIFS('Demand Projection'!$D$2:$D$169,'Demand Projection'!$B$2:$B$169,F$1,'Demand Projection'!$C$2:$C$169,$A304)</f>
        <v>0</v>
      </c>
      <c r="G304" cm="1">
        <f t="array" ref="G304">Q303+IF(ROW()-3&lt;2,0,INDEX(L:L,ROW()-3))</f>
        <v>7704</v>
      </c>
      <c r="H304" cm="1">
        <f t="array" ref="H304">R303+IF(ROW()-3&lt;2,0,INDEX(M:M,ROW()-3))</f>
        <v>12017</v>
      </c>
      <c r="I304" cm="1">
        <f t="array" ref="I304">S303+IF(ROW()-3&lt;2,0,INDEX(N:N,ROW()-3))</f>
        <v>2123</v>
      </c>
      <c r="J304" cm="1">
        <f t="array" ref="J304">T303+IF(ROW()-3&lt;2,0,INDEX(O:O,ROW()-3))</f>
        <v>-1277</v>
      </c>
      <c r="K304" cm="1">
        <f t="array" ref="K304">U303+IF(ROW()-3&lt;2,0,INDEX(P:P,ROW()-3))</f>
        <v>4610</v>
      </c>
      <c r="L304">
        <f>IF(Q304&lt;_xlfn.XLOOKUP(L$1,Capacity!$D$3:$D$7,Capacity!$E$3:$E$7),_xlfn.XLOOKUP(L$1,Capacity!$D$3:$D$7,Capacity!$F$3:$F$7)-Q304,0)</f>
        <v>0</v>
      </c>
      <c r="M304">
        <f>IF(R304&lt;_xlfn.XLOOKUP(M$1,Capacity!$D$3:$D$7,Capacity!$E$3:$E$7),_xlfn.XLOOKUP(M$1,Capacity!$D$3:$D$7,Capacity!$F$3:$F$7)-R304,0)</f>
        <v>0</v>
      </c>
      <c r="N304">
        <f>IF(S304&lt;_xlfn.XLOOKUP(N$1,Capacity!$D$3:$D$7,Capacity!$E$3:$E$7),_xlfn.XLOOKUP(N$1,Capacity!$D$3:$D$7,Capacity!$F$3:$F$7)-S304,0)</f>
        <v>0</v>
      </c>
      <c r="O304">
        <f>IF(T304&lt;_xlfn.XLOOKUP(O$1,Capacity!$D$3:$D$7,Capacity!$E$3:$E$7),_xlfn.XLOOKUP(O$1,Capacity!$D$3:$D$7,Capacity!$F$3:$F$7)-T304,0)</f>
        <v>4551</v>
      </c>
      <c r="P304">
        <f>IF(U304&lt;_xlfn.XLOOKUP(P$1,Capacity!$D$3:$D$7,Capacity!$E$3:$E$7),_xlfn.XLOOKUP(P$1,Capacity!$D$3:$D$7,Capacity!$F$3:$F$7)-U304,0)</f>
        <v>0</v>
      </c>
      <c r="Q304">
        <f t="shared" si="25"/>
        <v>7704</v>
      </c>
      <c r="R304">
        <f t="shared" si="26"/>
        <v>12017</v>
      </c>
      <c r="S304">
        <f t="shared" si="27"/>
        <v>2123</v>
      </c>
      <c r="T304">
        <f t="shared" si="28"/>
        <v>-1277</v>
      </c>
      <c r="U304">
        <f t="shared" si="29"/>
        <v>4610</v>
      </c>
    </row>
    <row r="305" spans="1:21">
      <c r="A305" s="5">
        <f t="shared" si="30"/>
        <v>46326</v>
      </c>
      <c r="B305">
        <f>SUMIFS('Demand Projection'!$D$2:$D$169,'Demand Projection'!$B$2:$B$169,B$1,'Demand Projection'!$C$2:$C$169,$A305)</f>
        <v>0</v>
      </c>
      <c r="C305">
        <f>SUMIFS('Demand Projection'!$D$2:$D$169,'Demand Projection'!$B$2:$B$169,C$1,'Demand Projection'!$C$2:$C$169,$A305)</f>
        <v>0</v>
      </c>
      <c r="D305">
        <f>SUMIFS('Demand Projection'!$D$2:$D$169,'Demand Projection'!$B$2:$B$169,D$1,'Demand Projection'!$C$2:$C$169,$A305)</f>
        <v>0</v>
      </c>
      <c r="E305">
        <f>SUMIFS('Demand Projection'!$D$2:$D$169,'Demand Projection'!$B$2:$B$169,E$1,'Demand Projection'!$C$2:$C$169,$A305)</f>
        <v>0</v>
      </c>
      <c r="F305">
        <f>SUMIFS('Demand Projection'!$D$2:$D$169,'Demand Projection'!$B$2:$B$169,F$1,'Demand Projection'!$C$2:$C$169,$A305)</f>
        <v>0</v>
      </c>
      <c r="G305" cm="1">
        <f t="array" ref="G305">Q304+IF(ROW()-3&lt;2,0,INDEX(L:L,ROW()-3))</f>
        <v>7704</v>
      </c>
      <c r="H305" cm="1">
        <f t="array" ref="H305">R304+IF(ROW()-3&lt;2,0,INDEX(M:M,ROW()-3))</f>
        <v>12017</v>
      </c>
      <c r="I305" cm="1">
        <f t="array" ref="I305">S304+IF(ROW()-3&lt;2,0,INDEX(N:N,ROW()-3))</f>
        <v>2123</v>
      </c>
      <c r="J305" cm="1">
        <f t="array" ref="J305">T304+IF(ROW()-3&lt;2,0,INDEX(O:O,ROW()-3))</f>
        <v>3274</v>
      </c>
      <c r="K305" cm="1">
        <f t="array" ref="K305">U304+IF(ROW()-3&lt;2,0,INDEX(P:P,ROW()-3))</f>
        <v>4610</v>
      </c>
      <c r="L305">
        <f>IF(Q305&lt;_xlfn.XLOOKUP(L$1,Capacity!$D$3:$D$7,Capacity!$E$3:$E$7),_xlfn.XLOOKUP(L$1,Capacity!$D$3:$D$7,Capacity!$F$3:$F$7)-Q305,0)</f>
        <v>0</v>
      </c>
      <c r="M305">
        <f>IF(R305&lt;_xlfn.XLOOKUP(M$1,Capacity!$D$3:$D$7,Capacity!$E$3:$E$7),_xlfn.XLOOKUP(M$1,Capacity!$D$3:$D$7,Capacity!$F$3:$F$7)-R305,0)</f>
        <v>0</v>
      </c>
      <c r="N305">
        <f>IF(S305&lt;_xlfn.XLOOKUP(N$1,Capacity!$D$3:$D$7,Capacity!$E$3:$E$7),_xlfn.XLOOKUP(N$1,Capacity!$D$3:$D$7,Capacity!$F$3:$F$7)-S305,0)</f>
        <v>0</v>
      </c>
      <c r="O305">
        <f>IF(T305&lt;_xlfn.XLOOKUP(O$1,Capacity!$D$3:$D$7,Capacity!$E$3:$E$7),_xlfn.XLOOKUP(O$1,Capacity!$D$3:$D$7,Capacity!$F$3:$F$7)-T305,0)</f>
        <v>0</v>
      </c>
      <c r="P305">
        <f>IF(U305&lt;_xlfn.XLOOKUP(P$1,Capacity!$D$3:$D$7,Capacity!$E$3:$E$7),_xlfn.XLOOKUP(P$1,Capacity!$D$3:$D$7,Capacity!$F$3:$F$7)-U305,0)</f>
        <v>0</v>
      </c>
      <c r="Q305">
        <f t="shared" si="25"/>
        <v>7704</v>
      </c>
      <c r="R305">
        <f t="shared" si="26"/>
        <v>12017</v>
      </c>
      <c r="S305">
        <f t="shared" si="27"/>
        <v>2123</v>
      </c>
      <c r="T305">
        <f t="shared" si="28"/>
        <v>3274</v>
      </c>
      <c r="U305">
        <f t="shared" si="29"/>
        <v>4610</v>
      </c>
    </row>
    <row r="306" spans="1:21">
      <c r="A306" s="5">
        <f t="shared" si="30"/>
        <v>46327</v>
      </c>
      <c r="B306">
        <f>SUMIFS('Demand Projection'!$D$2:$D$169,'Demand Projection'!$B$2:$B$169,B$1,'Demand Projection'!$C$2:$C$169,$A306)</f>
        <v>0</v>
      </c>
      <c r="C306">
        <f>SUMIFS('Demand Projection'!$D$2:$D$169,'Demand Projection'!$B$2:$B$169,C$1,'Demand Projection'!$C$2:$C$169,$A306)</f>
        <v>0</v>
      </c>
      <c r="D306">
        <f>SUMIFS('Demand Projection'!$D$2:$D$169,'Demand Projection'!$B$2:$B$169,D$1,'Demand Projection'!$C$2:$C$169,$A306)</f>
        <v>0</v>
      </c>
      <c r="E306">
        <f>SUMIFS('Demand Projection'!$D$2:$D$169,'Demand Projection'!$B$2:$B$169,E$1,'Demand Projection'!$C$2:$C$169,$A306)</f>
        <v>0</v>
      </c>
      <c r="F306">
        <f>SUMIFS('Demand Projection'!$D$2:$D$169,'Demand Projection'!$B$2:$B$169,F$1,'Demand Projection'!$C$2:$C$169,$A306)</f>
        <v>0</v>
      </c>
      <c r="G306" cm="1">
        <f t="array" ref="G306">Q305+IF(ROW()-3&lt;2,0,INDEX(L:L,ROW()-3))</f>
        <v>7704</v>
      </c>
      <c r="H306" cm="1">
        <f t="array" ref="H306">R305+IF(ROW()-3&lt;2,0,INDEX(M:M,ROW()-3))</f>
        <v>12017</v>
      </c>
      <c r="I306" cm="1">
        <f t="array" ref="I306">S305+IF(ROW()-3&lt;2,0,INDEX(N:N,ROW()-3))</f>
        <v>2123</v>
      </c>
      <c r="J306" cm="1">
        <f t="array" ref="J306">T305+IF(ROW()-3&lt;2,0,INDEX(O:O,ROW()-3))</f>
        <v>7825</v>
      </c>
      <c r="K306" cm="1">
        <f t="array" ref="K306">U305+IF(ROW()-3&lt;2,0,INDEX(P:P,ROW()-3))</f>
        <v>4610</v>
      </c>
      <c r="L306">
        <f>IF(Q306&lt;_xlfn.XLOOKUP(L$1,Capacity!$D$3:$D$7,Capacity!$E$3:$E$7),_xlfn.XLOOKUP(L$1,Capacity!$D$3:$D$7,Capacity!$F$3:$F$7)-Q306,0)</f>
        <v>0</v>
      </c>
      <c r="M306">
        <f>IF(R306&lt;_xlfn.XLOOKUP(M$1,Capacity!$D$3:$D$7,Capacity!$E$3:$E$7),_xlfn.XLOOKUP(M$1,Capacity!$D$3:$D$7,Capacity!$F$3:$F$7)-R306,0)</f>
        <v>0</v>
      </c>
      <c r="N306">
        <f>IF(S306&lt;_xlfn.XLOOKUP(N$1,Capacity!$D$3:$D$7,Capacity!$E$3:$E$7),_xlfn.XLOOKUP(N$1,Capacity!$D$3:$D$7,Capacity!$F$3:$F$7)-S306,0)</f>
        <v>0</v>
      </c>
      <c r="O306">
        <f>IF(T306&lt;_xlfn.XLOOKUP(O$1,Capacity!$D$3:$D$7,Capacity!$E$3:$E$7),_xlfn.XLOOKUP(O$1,Capacity!$D$3:$D$7,Capacity!$F$3:$F$7)-T306,0)</f>
        <v>0</v>
      </c>
      <c r="P306">
        <f>IF(U306&lt;_xlfn.XLOOKUP(P$1,Capacity!$D$3:$D$7,Capacity!$E$3:$E$7),_xlfn.XLOOKUP(P$1,Capacity!$D$3:$D$7,Capacity!$F$3:$F$7)-U306,0)</f>
        <v>0</v>
      </c>
      <c r="Q306">
        <f t="shared" si="25"/>
        <v>7704</v>
      </c>
      <c r="R306">
        <f t="shared" si="26"/>
        <v>12017</v>
      </c>
      <c r="S306">
        <f t="shared" si="27"/>
        <v>2123</v>
      </c>
      <c r="T306">
        <f t="shared" si="28"/>
        <v>7825</v>
      </c>
      <c r="U306">
        <f t="shared" si="29"/>
        <v>4610</v>
      </c>
    </row>
    <row r="307" spans="1:21">
      <c r="A307" s="5">
        <f t="shared" si="30"/>
        <v>46328</v>
      </c>
      <c r="B307">
        <f>SUMIFS('Demand Projection'!$D$2:$D$169,'Demand Projection'!$B$2:$B$169,B$1,'Demand Projection'!$C$2:$C$169,$A307)</f>
        <v>0</v>
      </c>
      <c r="C307">
        <f>SUMIFS('Demand Projection'!$D$2:$D$169,'Demand Projection'!$B$2:$B$169,C$1,'Demand Projection'!$C$2:$C$169,$A307)</f>
        <v>0</v>
      </c>
      <c r="D307">
        <f>SUMIFS('Demand Projection'!$D$2:$D$169,'Demand Projection'!$B$2:$B$169,D$1,'Demand Projection'!$C$2:$C$169,$A307)</f>
        <v>0</v>
      </c>
      <c r="E307">
        <f>SUMIFS('Demand Projection'!$D$2:$D$169,'Demand Projection'!$B$2:$B$169,E$1,'Demand Projection'!$C$2:$C$169,$A307)</f>
        <v>0</v>
      </c>
      <c r="F307">
        <f>SUMIFS('Demand Projection'!$D$2:$D$169,'Demand Projection'!$B$2:$B$169,F$1,'Demand Projection'!$C$2:$C$169,$A307)</f>
        <v>0</v>
      </c>
      <c r="G307" cm="1">
        <f t="array" ref="G307">Q306+IF(ROW()-3&lt;2,0,INDEX(L:L,ROW()-3))</f>
        <v>7704</v>
      </c>
      <c r="H307" cm="1">
        <f t="array" ref="H307">R306+IF(ROW()-3&lt;2,0,INDEX(M:M,ROW()-3))</f>
        <v>12017</v>
      </c>
      <c r="I307" cm="1">
        <f t="array" ref="I307">S306+IF(ROW()-3&lt;2,0,INDEX(N:N,ROW()-3))</f>
        <v>2123</v>
      </c>
      <c r="J307" cm="1">
        <f t="array" ref="J307">T306+IF(ROW()-3&lt;2,0,INDEX(O:O,ROW()-3))</f>
        <v>12376</v>
      </c>
      <c r="K307" cm="1">
        <f t="array" ref="K307">U306+IF(ROW()-3&lt;2,0,INDEX(P:P,ROW()-3))</f>
        <v>4610</v>
      </c>
      <c r="L307">
        <f>IF(Q307&lt;_xlfn.XLOOKUP(L$1,Capacity!$D$3:$D$7,Capacity!$E$3:$E$7),_xlfn.XLOOKUP(L$1,Capacity!$D$3:$D$7,Capacity!$F$3:$F$7)-Q307,0)</f>
        <v>0</v>
      </c>
      <c r="M307">
        <f>IF(R307&lt;_xlfn.XLOOKUP(M$1,Capacity!$D$3:$D$7,Capacity!$E$3:$E$7),_xlfn.XLOOKUP(M$1,Capacity!$D$3:$D$7,Capacity!$F$3:$F$7)-R307,0)</f>
        <v>0</v>
      </c>
      <c r="N307">
        <f>IF(S307&lt;_xlfn.XLOOKUP(N$1,Capacity!$D$3:$D$7,Capacity!$E$3:$E$7),_xlfn.XLOOKUP(N$1,Capacity!$D$3:$D$7,Capacity!$F$3:$F$7)-S307,0)</f>
        <v>0</v>
      </c>
      <c r="O307">
        <f>IF(T307&lt;_xlfn.XLOOKUP(O$1,Capacity!$D$3:$D$7,Capacity!$E$3:$E$7),_xlfn.XLOOKUP(O$1,Capacity!$D$3:$D$7,Capacity!$F$3:$F$7)-T307,0)</f>
        <v>0</v>
      </c>
      <c r="P307">
        <f>IF(U307&lt;_xlfn.XLOOKUP(P$1,Capacity!$D$3:$D$7,Capacity!$E$3:$E$7),_xlfn.XLOOKUP(P$1,Capacity!$D$3:$D$7,Capacity!$F$3:$F$7)-U307,0)</f>
        <v>0</v>
      </c>
      <c r="Q307">
        <f t="shared" si="25"/>
        <v>7704</v>
      </c>
      <c r="R307">
        <f t="shared" si="26"/>
        <v>12017</v>
      </c>
      <c r="S307">
        <f t="shared" si="27"/>
        <v>2123</v>
      </c>
      <c r="T307">
        <f t="shared" si="28"/>
        <v>12376</v>
      </c>
      <c r="U307">
        <f t="shared" si="29"/>
        <v>4610</v>
      </c>
    </row>
    <row r="308" spans="1:21">
      <c r="A308" s="5">
        <f t="shared" si="30"/>
        <v>46329</v>
      </c>
      <c r="B308">
        <f>SUMIFS('Demand Projection'!$D$2:$D$169,'Demand Projection'!$B$2:$B$169,B$1,'Demand Projection'!$C$2:$C$169,$A308)</f>
        <v>800</v>
      </c>
      <c r="C308">
        <f>SUMIFS('Demand Projection'!$D$2:$D$169,'Demand Projection'!$B$2:$B$169,C$1,'Demand Projection'!$C$2:$C$169,$A308)</f>
        <v>4787</v>
      </c>
      <c r="D308">
        <f>SUMIFS('Demand Projection'!$D$2:$D$169,'Demand Projection'!$B$2:$B$169,D$1,'Demand Projection'!$C$2:$C$169,$A308)</f>
        <v>0</v>
      </c>
      <c r="E308">
        <f>SUMIFS('Demand Projection'!$D$2:$D$169,'Demand Projection'!$B$2:$B$169,E$1,'Demand Projection'!$C$2:$C$169,$A308)</f>
        <v>0</v>
      </c>
      <c r="F308">
        <f>SUMIFS('Demand Projection'!$D$2:$D$169,'Demand Projection'!$B$2:$B$169,F$1,'Demand Projection'!$C$2:$C$169,$A308)</f>
        <v>0</v>
      </c>
      <c r="G308" cm="1">
        <f t="array" ref="G308">Q307+IF(ROW()-3&lt;2,0,INDEX(L:L,ROW()-3))</f>
        <v>7704</v>
      </c>
      <c r="H308" cm="1">
        <f t="array" ref="H308">R307+IF(ROW()-3&lt;2,0,INDEX(M:M,ROW()-3))</f>
        <v>12017</v>
      </c>
      <c r="I308" cm="1">
        <f t="array" ref="I308">S307+IF(ROW()-3&lt;2,0,INDEX(N:N,ROW()-3))</f>
        <v>2123</v>
      </c>
      <c r="J308" cm="1">
        <f t="array" ref="J308">T307+IF(ROW()-3&lt;2,0,INDEX(O:O,ROW()-3))</f>
        <v>12376</v>
      </c>
      <c r="K308" cm="1">
        <f t="array" ref="K308">U307+IF(ROW()-3&lt;2,0,INDEX(P:P,ROW()-3))</f>
        <v>4610</v>
      </c>
      <c r="L308">
        <f>IF(Q308&lt;_xlfn.XLOOKUP(L$1,Capacity!$D$3:$D$7,Capacity!$E$3:$E$7),_xlfn.XLOOKUP(L$1,Capacity!$D$3:$D$7,Capacity!$F$3:$F$7)-Q308,0)</f>
        <v>0</v>
      </c>
      <c r="M308">
        <f>IF(R308&lt;_xlfn.XLOOKUP(M$1,Capacity!$D$3:$D$7,Capacity!$E$3:$E$7),_xlfn.XLOOKUP(M$1,Capacity!$D$3:$D$7,Capacity!$F$3:$F$7)-R308,0)</f>
        <v>0</v>
      </c>
      <c r="N308">
        <f>IF(S308&lt;_xlfn.XLOOKUP(N$1,Capacity!$D$3:$D$7,Capacity!$E$3:$E$7),_xlfn.XLOOKUP(N$1,Capacity!$D$3:$D$7,Capacity!$F$3:$F$7)-S308,0)</f>
        <v>0</v>
      </c>
      <c r="O308">
        <f>IF(T308&lt;_xlfn.XLOOKUP(O$1,Capacity!$D$3:$D$7,Capacity!$E$3:$E$7),_xlfn.XLOOKUP(O$1,Capacity!$D$3:$D$7,Capacity!$F$3:$F$7)-T308,0)</f>
        <v>0</v>
      </c>
      <c r="P308">
        <f>IF(U308&lt;_xlfn.XLOOKUP(P$1,Capacity!$D$3:$D$7,Capacity!$E$3:$E$7),_xlfn.XLOOKUP(P$1,Capacity!$D$3:$D$7,Capacity!$F$3:$F$7)-U308,0)</f>
        <v>0</v>
      </c>
      <c r="Q308">
        <f t="shared" si="25"/>
        <v>6904</v>
      </c>
      <c r="R308">
        <f t="shared" si="26"/>
        <v>7230</v>
      </c>
      <c r="S308">
        <f t="shared" si="27"/>
        <v>2123</v>
      </c>
      <c r="T308">
        <f t="shared" si="28"/>
        <v>12376</v>
      </c>
      <c r="U308">
        <f t="shared" si="29"/>
        <v>4610</v>
      </c>
    </row>
    <row r="309" spans="1:21">
      <c r="A309" s="5">
        <f t="shared" si="30"/>
        <v>46330</v>
      </c>
      <c r="B309">
        <f>SUMIFS('Demand Projection'!$D$2:$D$169,'Demand Projection'!$B$2:$B$169,B$1,'Demand Projection'!$C$2:$C$169,$A309)</f>
        <v>322</v>
      </c>
      <c r="C309">
        <f>SUMIFS('Demand Projection'!$D$2:$D$169,'Demand Projection'!$B$2:$B$169,C$1,'Demand Projection'!$C$2:$C$169,$A309)</f>
        <v>0</v>
      </c>
      <c r="D309">
        <f>SUMIFS('Demand Projection'!$D$2:$D$169,'Demand Projection'!$B$2:$B$169,D$1,'Demand Projection'!$C$2:$C$169,$A309)</f>
        <v>0</v>
      </c>
      <c r="E309">
        <f>SUMIFS('Demand Projection'!$D$2:$D$169,'Demand Projection'!$B$2:$B$169,E$1,'Demand Projection'!$C$2:$C$169,$A309)</f>
        <v>0</v>
      </c>
      <c r="F309">
        <f>SUMIFS('Demand Projection'!$D$2:$D$169,'Demand Projection'!$B$2:$B$169,F$1,'Demand Projection'!$C$2:$C$169,$A309)</f>
        <v>0</v>
      </c>
      <c r="G309" cm="1">
        <f t="array" ref="G309">Q308+IF(ROW()-3&lt;2,0,INDEX(L:L,ROW()-3))</f>
        <v>6904</v>
      </c>
      <c r="H309" cm="1">
        <f t="array" ref="H309">R308+IF(ROW()-3&lt;2,0,INDEX(M:M,ROW()-3))</f>
        <v>7230</v>
      </c>
      <c r="I309" cm="1">
        <f t="array" ref="I309">S308+IF(ROW()-3&lt;2,0,INDEX(N:N,ROW()-3))</f>
        <v>2123</v>
      </c>
      <c r="J309" cm="1">
        <f t="array" ref="J309">T308+IF(ROW()-3&lt;2,0,INDEX(O:O,ROW()-3))</f>
        <v>12376</v>
      </c>
      <c r="K309" cm="1">
        <f t="array" ref="K309">U308+IF(ROW()-3&lt;2,0,INDEX(P:P,ROW()-3))</f>
        <v>4610</v>
      </c>
      <c r="L309">
        <f>IF(Q309&lt;_xlfn.XLOOKUP(L$1,Capacity!$D$3:$D$7,Capacity!$E$3:$E$7),_xlfn.XLOOKUP(L$1,Capacity!$D$3:$D$7,Capacity!$F$3:$F$7)-Q309,0)</f>
        <v>0</v>
      </c>
      <c r="M309">
        <f>IF(R309&lt;_xlfn.XLOOKUP(M$1,Capacity!$D$3:$D$7,Capacity!$E$3:$E$7),_xlfn.XLOOKUP(M$1,Capacity!$D$3:$D$7,Capacity!$F$3:$F$7)-R309,0)</f>
        <v>0</v>
      </c>
      <c r="N309">
        <f>IF(S309&lt;_xlfn.XLOOKUP(N$1,Capacity!$D$3:$D$7,Capacity!$E$3:$E$7),_xlfn.XLOOKUP(N$1,Capacity!$D$3:$D$7,Capacity!$F$3:$F$7)-S309,0)</f>
        <v>0</v>
      </c>
      <c r="O309">
        <f>IF(T309&lt;_xlfn.XLOOKUP(O$1,Capacity!$D$3:$D$7,Capacity!$E$3:$E$7),_xlfn.XLOOKUP(O$1,Capacity!$D$3:$D$7,Capacity!$F$3:$F$7)-T309,0)</f>
        <v>0</v>
      </c>
      <c r="P309">
        <f>IF(U309&lt;_xlfn.XLOOKUP(P$1,Capacity!$D$3:$D$7,Capacity!$E$3:$E$7),_xlfn.XLOOKUP(P$1,Capacity!$D$3:$D$7,Capacity!$F$3:$F$7)-U309,0)</f>
        <v>0</v>
      </c>
      <c r="Q309">
        <f t="shared" si="25"/>
        <v>6582</v>
      </c>
      <c r="R309">
        <f t="shared" si="26"/>
        <v>7230</v>
      </c>
      <c r="S309">
        <f t="shared" si="27"/>
        <v>2123</v>
      </c>
      <c r="T309">
        <f t="shared" si="28"/>
        <v>12376</v>
      </c>
      <c r="U309">
        <f t="shared" si="29"/>
        <v>4610</v>
      </c>
    </row>
    <row r="310" spans="1:21">
      <c r="A310" s="5">
        <f t="shared" si="30"/>
        <v>46331</v>
      </c>
      <c r="B310">
        <f>SUMIFS('Demand Projection'!$D$2:$D$169,'Demand Projection'!$B$2:$B$169,B$1,'Demand Projection'!$C$2:$C$169,$A310)</f>
        <v>0</v>
      </c>
      <c r="C310">
        <f>SUMIFS('Demand Projection'!$D$2:$D$169,'Demand Projection'!$B$2:$B$169,C$1,'Demand Projection'!$C$2:$C$169,$A310)</f>
        <v>0</v>
      </c>
      <c r="D310">
        <f>SUMIFS('Demand Projection'!$D$2:$D$169,'Demand Projection'!$B$2:$B$169,D$1,'Demand Projection'!$C$2:$C$169,$A310)</f>
        <v>721</v>
      </c>
      <c r="E310">
        <f>SUMIFS('Demand Projection'!$D$2:$D$169,'Demand Projection'!$B$2:$B$169,E$1,'Demand Projection'!$C$2:$C$169,$A310)</f>
        <v>0</v>
      </c>
      <c r="F310">
        <f>SUMIFS('Demand Projection'!$D$2:$D$169,'Demand Projection'!$B$2:$B$169,F$1,'Demand Projection'!$C$2:$C$169,$A310)</f>
        <v>0</v>
      </c>
      <c r="G310" cm="1">
        <f t="array" ref="G310">Q309+IF(ROW()-3&lt;2,0,INDEX(L:L,ROW()-3))</f>
        <v>6582</v>
      </c>
      <c r="H310" cm="1">
        <f t="array" ref="H310">R309+IF(ROW()-3&lt;2,0,INDEX(M:M,ROW()-3))</f>
        <v>7230</v>
      </c>
      <c r="I310" cm="1">
        <f t="array" ref="I310">S309+IF(ROW()-3&lt;2,0,INDEX(N:N,ROW()-3))</f>
        <v>2123</v>
      </c>
      <c r="J310" cm="1">
        <f t="array" ref="J310">T309+IF(ROW()-3&lt;2,0,INDEX(O:O,ROW()-3))</f>
        <v>12376</v>
      </c>
      <c r="K310" cm="1">
        <f t="array" ref="K310">U309+IF(ROW()-3&lt;2,0,INDEX(P:P,ROW()-3))</f>
        <v>4610</v>
      </c>
      <c r="L310">
        <f>IF(Q310&lt;_xlfn.XLOOKUP(L$1,Capacity!$D$3:$D$7,Capacity!$E$3:$E$7),_xlfn.XLOOKUP(L$1,Capacity!$D$3:$D$7,Capacity!$F$3:$F$7)-Q310,0)</f>
        <v>0</v>
      </c>
      <c r="M310">
        <f>IF(R310&lt;_xlfn.XLOOKUP(M$1,Capacity!$D$3:$D$7,Capacity!$E$3:$E$7),_xlfn.XLOOKUP(M$1,Capacity!$D$3:$D$7,Capacity!$F$3:$F$7)-R310,0)</f>
        <v>0</v>
      </c>
      <c r="N310">
        <f>IF(S310&lt;_xlfn.XLOOKUP(N$1,Capacity!$D$3:$D$7,Capacity!$E$3:$E$7),_xlfn.XLOOKUP(N$1,Capacity!$D$3:$D$7,Capacity!$F$3:$F$7)-S310,0)</f>
        <v>0</v>
      </c>
      <c r="O310">
        <f>IF(T310&lt;_xlfn.XLOOKUP(O$1,Capacity!$D$3:$D$7,Capacity!$E$3:$E$7),_xlfn.XLOOKUP(O$1,Capacity!$D$3:$D$7,Capacity!$F$3:$F$7)-T310,0)</f>
        <v>0</v>
      </c>
      <c r="P310">
        <f>IF(U310&lt;_xlfn.XLOOKUP(P$1,Capacity!$D$3:$D$7,Capacity!$E$3:$E$7),_xlfn.XLOOKUP(P$1,Capacity!$D$3:$D$7,Capacity!$F$3:$F$7)-U310,0)</f>
        <v>0</v>
      </c>
      <c r="Q310">
        <f t="shared" si="25"/>
        <v>6582</v>
      </c>
      <c r="R310">
        <f t="shared" si="26"/>
        <v>7230</v>
      </c>
      <c r="S310">
        <f t="shared" si="27"/>
        <v>1402</v>
      </c>
      <c r="T310">
        <f t="shared" si="28"/>
        <v>12376</v>
      </c>
      <c r="U310">
        <f t="shared" si="29"/>
        <v>4610</v>
      </c>
    </row>
    <row r="311" spans="1:21">
      <c r="A311" s="5">
        <f t="shared" si="30"/>
        <v>46332</v>
      </c>
      <c r="B311">
        <f>SUMIFS('Demand Projection'!$D$2:$D$169,'Demand Projection'!$B$2:$B$169,B$1,'Demand Projection'!$C$2:$C$169,$A311)</f>
        <v>0</v>
      </c>
      <c r="C311">
        <f>SUMIFS('Demand Projection'!$D$2:$D$169,'Demand Projection'!$B$2:$B$169,C$1,'Demand Projection'!$C$2:$C$169,$A311)</f>
        <v>0</v>
      </c>
      <c r="D311">
        <f>SUMIFS('Demand Projection'!$D$2:$D$169,'Demand Projection'!$B$2:$B$169,D$1,'Demand Projection'!$C$2:$C$169,$A311)</f>
        <v>0</v>
      </c>
      <c r="E311">
        <f>SUMIFS('Demand Projection'!$D$2:$D$169,'Demand Projection'!$B$2:$B$169,E$1,'Demand Projection'!$C$2:$C$169,$A311)</f>
        <v>482</v>
      </c>
      <c r="F311">
        <f>SUMIFS('Demand Projection'!$D$2:$D$169,'Demand Projection'!$B$2:$B$169,F$1,'Demand Projection'!$C$2:$C$169,$A311)</f>
        <v>0</v>
      </c>
      <c r="G311" cm="1">
        <f t="array" ref="G311">Q310+IF(ROW()-3&lt;2,0,INDEX(L:L,ROW()-3))</f>
        <v>6582</v>
      </c>
      <c r="H311" cm="1">
        <f t="array" ref="H311">R310+IF(ROW()-3&lt;2,0,INDEX(M:M,ROW()-3))</f>
        <v>7230</v>
      </c>
      <c r="I311" cm="1">
        <f t="array" ref="I311">S310+IF(ROW()-3&lt;2,0,INDEX(N:N,ROW()-3))</f>
        <v>1402</v>
      </c>
      <c r="J311" cm="1">
        <f t="array" ref="J311">T310+IF(ROW()-3&lt;2,0,INDEX(O:O,ROW()-3))</f>
        <v>12376</v>
      </c>
      <c r="K311" cm="1">
        <f t="array" ref="K311">U310+IF(ROW()-3&lt;2,0,INDEX(P:P,ROW()-3))</f>
        <v>4610</v>
      </c>
      <c r="L311">
        <f>IF(Q311&lt;_xlfn.XLOOKUP(L$1,Capacity!$D$3:$D$7,Capacity!$E$3:$E$7),_xlfn.XLOOKUP(L$1,Capacity!$D$3:$D$7,Capacity!$F$3:$F$7)-Q311,0)</f>
        <v>0</v>
      </c>
      <c r="M311">
        <f>IF(R311&lt;_xlfn.XLOOKUP(M$1,Capacity!$D$3:$D$7,Capacity!$E$3:$E$7),_xlfn.XLOOKUP(M$1,Capacity!$D$3:$D$7,Capacity!$F$3:$F$7)-R311,0)</f>
        <v>0</v>
      </c>
      <c r="N311">
        <f>IF(S311&lt;_xlfn.XLOOKUP(N$1,Capacity!$D$3:$D$7,Capacity!$E$3:$E$7),_xlfn.XLOOKUP(N$1,Capacity!$D$3:$D$7,Capacity!$F$3:$F$7)-S311,0)</f>
        <v>0</v>
      </c>
      <c r="O311">
        <f>IF(T311&lt;_xlfn.XLOOKUP(O$1,Capacity!$D$3:$D$7,Capacity!$E$3:$E$7),_xlfn.XLOOKUP(O$1,Capacity!$D$3:$D$7,Capacity!$F$3:$F$7)-T311,0)</f>
        <v>0</v>
      </c>
      <c r="P311">
        <f>IF(U311&lt;_xlfn.XLOOKUP(P$1,Capacity!$D$3:$D$7,Capacity!$E$3:$E$7),_xlfn.XLOOKUP(P$1,Capacity!$D$3:$D$7,Capacity!$F$3:$F$7)-U311,0)</f>
        <v>0</v>
      </c>
      <c r="Q311">
        <f t="shared" si="25"/>
        <v>6582</v>
      </c>
      <c r="R311">
        <f t="shared" si="26"/>
        <v>7230</v>
      </c>
      <c r="S311">
        <f t="shared" si="27"/>
        <v>1402</v>
      </c>
      <c r="T311">
        <f t="shared" si="28"/>
        <v>11894</v>
      </c>
      <c r="U311">
        <f t="shared" si="29"/>
        <v>4610</v>
      </c>
    </row>
    <row r="312" spans="1:21">
      <c r="A312" s="5">
        <f t="shared" si="30"/>
        <v>46333</v>
      </c>
      <c r="B312">
        <f>SUMIFS('Demand Projection'!$D$2:$D$169,'Demand Projection'!$B$2:$B$169,B$1,'Demand Projection'!$C$2:$C$169,$A312)</f>
        <v>800</v>
      </c>
      <c r="C312">
        <f>SUMIFS('Demand Projection'!$D$2:$D$169,'Demand Projection'!$B$2:$B$169,C$1,'Demand Projection'!$C$2:$C$169,$A312)</f>
        <v>0</v>
      </c>
      <c r="D312">
        <f>SUMIFS('Demand Projection'!$D$2:$D$169,'Demand Projection'!$B$2:$B$169,D$1,'Demand Projection'!$C$2:$C$169,$A312)</f>
        <v>0</v>
      </c>
      <c r="E312">
        <f>SUMIFS('Demand Projection'!$D$2:$D$169,'Demand Projection'!$B$2:$B$169,E$1,'Demand Projection'!$C$2:$C$169,$A312)</f>
        <v>0</v>
      </c>
      <c r="F312">
        <f>SUMIFS('Demand Projection'!$D$2:$D$169,'Demand Projection'!$B$2:$B$169,F$1,'Demand Projection'!$C$2:$C$169,$A312)</f>
        <v>0</v>
      </c>
      <c r="G312" cm="1">
        <f t="array" ref="G312">Q311+IF(ROW()-3&lt;2,0,INDEX(L:L,ROW()-3))</f>
        <v>6582</v>
      </c>
      <c r="H312" cm="1">
        <f t="array" ref="H312">R311+IF(ROW()-3&lt;2,0,INDEX(M:M,ROW()-3))</f>
        <v>7230</v>
      </c>
      <c r="I312" cm="1">
        <f t="array" ref="I312">S311+IF(ROW()-3&lt;2,0,INDEX(N:N,ROW()-3))</f>
        <v>1402</v>
      </c>
      <c r="J312" cm="1">
        <f t="array" ref="J312">T311+IF(ROW()-3&lt;2,0,INDEX(O:O,ROW()-3))</f>
        <v>11894</v>
      </c>
      <c r="K312" cm="1">
        <f t="array" ref="K312">U311+IF(ROW()-3&lt;2,0,INDEX(P:P,ROW()-3))</f>
        <v>4610</v>
      </c>
      <c r="L312">
        <f>IF(Q312&lt;_xlfn.XLOOKUP(L$1,Capacity!$D$3:$D$7,Capacity!$E$3:$E$7),_xlfn.XLOOKUP(L$1,Capacity!$D$3:$D$7,Capacity!$F$3:$F$7)-Q312,0)</f>
        <v>0</v>
      </c>
      <c r="M312">
        <f>IF(R312&lt;_xlfn.XLOOKUP(M$1,Capacity!$D$3:$D$7,Capacity!$E$3:$E$7),_xlfn.XLOOKUP(M$1,Capacity!$D$3:$D$7,Capacity!$F$3:$F$7)-R312,0)</f>
        <v>0</v>
      </c>
      <c r="N312">
        <f>IF(S312&lt;_xlfn.XLOOKUP(N$1,Capacity!$D$3:$D$7,Capacity!$E$3:$E$7),_xlfn.XLOOKUP(N$1,Capacity!$D$3:$D$7,Capacity!$F$3:$F$7)-S312,0)</f>
        <v>0</v>
      </c>
      <c r="O312">
        <f>IF(T312&lt;_xlfn.XLOOKUP(O$1,Capacity!$D$3:$D$7,Capacity!$E$3:$E$7),_xlfn.XLOOKUP(O$1,Capacity!$D$3:$D$7,Capacity!$F$3:$F$7)-T312,0)</f>
        <v>0</v>
      </c>
      <c r="P312">
        <f>IF(U312&lt;_xlfn.XLOOKUP(P$1,Capacity!$D$3:$D$7,Capacity!$E$3:$E$7),_xlfn.XLOOKUP(P$1,Capacity!$D$3:$D$7,Capacity!$F$3:$F$7)-U312,0)</f>
        <v>0</v>
      </c>
      <c r="Q312">
        <f t="shared" si="25"/>
        <v>5782</v>
      </c>
      <c r="R312">
        <f t="shared" si="26"/>
        <v>7230</v>
      </c>
      <c r="S312">
        <f t="shared" si="27"/>
        <v>1402</v>
      </c>
      <c r="T312">
        <f t="shared" si="28"/>
        <v>11894</v>
      </c>
      <c r="U312">
        <f t="shared" si="29"/>
        <v>4610</v>
      </c>
    </row>
    <row r="313" spans="1:21">
      <c r="A313" s="5">
        <f t="shared" si="30"/>
        <v>46334</v>
      </c>
      <c r="B313">
        <f>SUMIFS('Demand Projection'!$D$2:$D$169,'Demand Projection'!$B$2:$B$169,B$1,'Demand Projection'!$C$2:$C$169,$A313)</f>
        <v>0</v>
      </c>
      <c r="C313">
        <f>SUMIFS('Demand Projection'!$D$2:$D$169,'Demand Projection'!$B$2:$B$169,C$1,'Demand Projection'!$C$2:$C$169,$A313)</f>
        <v>0</v>
      </c>
      <c r="D313">
        <f>SUMIFS('Demand Projection'!$D$2:$D$169,'Demand Projection'!$B$2:$B$169,D$1,'Demand Projection'!$C$2:$C$169,$A313)</f>
        <v>0</v>
      </c>
      <c r="E313">
        <f>SUMIFS('Demand Projection'!$D$2:$D$169,'Demand Projection'!$B$2:$B$169,E$1,'Demand Projection'!$C$2:$C$169,$A313)</f>
        <v>0</v>
      </c>
      <c r="F313">
        <f>SUMIFS('Demand Projection'!$D$2:$D$169,'Demand Projection'!$B$2:$B$169,F$1,'Demand Projection'!$C$2:$C$169,$A313)</f>
        <v>0</v>
      </c>
      <c r="G313" cm="1">
        <f t="array" ref="G313">Q312+IF(ROW()-3&lt;2,0,INDEX(L:L,ROW()-3))</f>
        <v>5782</v>
      </c>
      <c r="H313" cm="1">
        <f t="array" ref="H313">R312+IF(ROW()-3&lt;2,0,INDEX(M:M,ROW()-3))</f>
        <v>7230</v>
      </c>
      <c r="I313" cm="1">
        <f t="array" ref="I313">S312+IF(ROW()-3&lt;2,0,INDEX(N:N,ROW()-3))</f>
        <v>1402</v>
      </c>
      <c r="J313" cm="1">
        <f t="array" ref="J313">T312+IF(ROW()-3&lt;2,0,INDEX(O:O,ROW()-3))</f>
        <v>11894</v>
      </c>
      <c r="K313" cm="1">
        <f t="array" ref="K313">U312+IF(ROW()-3&lt;2,0,INDEX(P:P,ROW()-3))</f>
        <v>4610</v>
      </c>
      <c r="L313">
        <f>IF(Q313&lt;_xlfn.XLOOKUP(L$1,Capacity!$D$3:$D$7,Capacity!$E$3:$E$7),_xlfn.XLOOKUP(L$1,Capacity!$D$3:$D$7,Capacity!$F$3:$F$7)-Q313,0)</f>
        <v>0</v>
      </c>
      <c r="M313">
        <f>IF(R313&lt;_xlfn.XLOOKUP(M$1,Capacity!$D$3:$D$7,Capacity!$E$3:$E$7),_xlfn.XLOOKUP(M$1,Capacity!$D$3:$D$7,Capacity!$F$3:$F$7)-R313,0)</f>
        <v>0</v>
      </c>
      <c r="N313">
        <f>IF(S313&lt;_xlfn.XLOOKUP(N$1,Capacity!$D$3:$D$7,Capacity!$E$3:$E$7),_xlfn.XLOOKUP(N$1,Capacity!$D$3:$D$7,Capacity!$F$3:$F$7)-S313,0)</f>
        <v>0</v>
      </c>
      <c r="O313">
        <f>IF(T313&lt;_xlfn.XLOOKUP(O$1,Capacity!$D$3:$D$7,Capacity!$E$3:$E$7),_xlfn.XLOOKUP(O$1,Capacity!$D$3:$D$7,Capacity!$F$3:$F$7)-T313,0)</f>
        <v>0</v>
      </c>
      <c r="P313">
        <f>IF(U313&lt;_xlfn.XLOOKUP(P$1,Capacity!$D$3:$D$7,Capacity!$E$3:$E$7),_xlfn.XLOOKUP(P$1,Capacity!$D$3:$D$7,Capacity!$F$3:$F$7)-U313,0)</f>
        <v>0</v>
      </c>
      <c r="Q313">
        <f t="shared" si="25"/>
        <v>5782</v>
      </c>
      <c r="R313">
        <f t="shared" si="26"/>
        <v>7230</v>
      </c>
      <c r="S313">
        <f t="shared" si="27"/>
        <v>1402</v>
      </c>
      <c r="T313">
        <f t="shared" si="28"/>
        <v>11894</v>
      </c>
      <c r="U313">
        <f t="shared" si="29"/>
        <v>4610</v>
      </c>
    </row>
    <row r="314" spans="1:21">
      <c r="A314" s="5">
        <f t="shared" si="30"/>
        <v>46335</v>
      </c>
      <c r="B314">
        <f>SUMIFS('Demand Projection'!$D$2:$D$169,'Demand Projection'!$B$2:$B$169,B$1,'Demand Projection'!$C$2:$C$169,$A314)</f>
        <v>0</v>
      </c>
      <c r="C314">
        <f>SUMIFS('Demand Projection'!$D$2:$D$169,'Demand Projection'!$B$2:$B$169,C$1,'Demand Projection'!$C$2:$C$169,$A314)</f>
        <v>0</v>
      </c>
      <c r="D314">
        <f>SUMIFS('Demand Projection'!$D$2:$D$169,'Demand Projection'!$B$2:$B$169,D$1,'Demand Projection'!$C$2:$C$169,$A314)</f>
        <v>401</v>
      </c>
      <c r="E314">
        <f>SUMIFS('Demand Projection'!$D$2:$D$169,'Demand Projection'!$B$2:$B$169,E$1,'Demand Projection'!$C$2:$C$169,$A314)</f>
        <v>0</v>
      </c>
      <c r="F314">
        <f>SUMIFS('Demand Projection'!$D$2:$D$169,'Demand Projection'!$B$2:$B$169,F$1,'Demand Projection'!$C$2:$C$169,$A314)</f>
        <v>0</v>
      </c>
      <c r="G314" cm="1">
        <f t="array" ref="G314">Q313+IF(ROW()-3&lt;2,0,INDEX(L:L,ROW()-3))</f>
        <v>5782</v>
      </c>
      <c r="H314" cm="1">
        <f t="array" ref="H314">R313+IF(ROW()-3&lt;2,0,INDEX(M:M,ROW()-3))</f>
        <v>7230</v>
      </c>
      <c r="I314" cm="1">
        <f t="array" ref="I314">S313+IF(ROW()-3&lt;2,0,INDEX(N:N,ROW()-3))</f>
        <v>1402</v>
      </c>
      <c r="J314" cm="1">
        <f t="array" ref="J314">T313+IF(ROW()-3&lt;2,0,INDEX(O:O,ROW()-3))</f>
        <v>11894</v>
      </c>
      <c r="K314" cm="1">
        <f t="array" ref="K314">U313+IF(ROW()-3&lt;2,0,INDEX(P:P,ROW()-3))</f>
        <v>4610</v>
      </c>
      <c r="L314">
        <f>IF(Q314&lt;_xlfn.XLOOKUP(L$1,Capacity!$D$3:$D$7,Capacity!$E$3:$E$7),_xlfn.XLOOKUP(L$1,Capacity!$D$3:$D$7,Capacity!$F$3:$F$7)-Q314,0)</f>
        <v>0</v>
      </c>
      <c r="M314">
        <f>IF(R314&lt;_xlfn.XLOOKUP(M$1,Capacity!$D$3:$D$7,Capacity!$E$3:$E$7),_xlfn.XLOOKUP(M$1,Capacity!$D$3:$D$7,Capacity!$F$3:$F$7)-R314,0)</f>
        <v>0</v>
      </c>
      <c r="N314">
        <f>IF(S314&lt;_xlfn.XLOOKUP(N$1,Capacity!$D$3:$D$7,Capacity!$E$3:$E$7),_xlfn.XLOOKUP(N$1,Capacity!$D$3:$D$7,Capacity!$F$3:$F$7)-S314,0)</f>
        <v>0</v>
      </c>
      <c r="O314">
        <f>IF(T314&lt;_xlfn.XLOOKUP(O$1,Capacity!$D$3:$D$7,Capacity!$E$3:$E$7),_xlfn.XLOOKUP(O$1,Capacity!$D$3:$D$7,Capacity!$F$3:$F$7)-T314,0)</f>
        <v>0</v>
      </c>
      <c r="P314">
        <f>IF(U314&lt;_xlfn.XLOOKUP(P$1,Capacity!$D$3:$D$7,Capacity!$E$3:$E$7),_xlfn.XLOOKUP(P$1,Capacity!$D$3:$D$7,Capacity!$F$3:$F$7)-U314,0)</f>
        <v>0</v>
      </c>
      <c r="Q314">
        <f t="shared" si="25"/>
        <v>5782</v>
      </c>
      <c r="R314">
        <f t="shared" si="26"/>
        <v>7230</v>
      </c>
      <c r="S314">
        <f t="shared" si="27"/>
        <v>1001</v>
      </c>
      <c r="T314">
        <f t="shared" si="28"/>
        <v>11894</v>
      </c>
      <c r="U314">
        <f t="shared" si="29"/>
        <v>4610</v>
      </c>
    </row>
    <row r="315" spans="1:21">
      <c r="A315" s="5">
        <f t="shared" si="30"/>
        <v>46336</v>
      </c>
      <c r="B315">
        <f>SUMIFS('Demand Projection'!$D$2:$D$169,'Demand Projection'!$B$2:$B$169,B$1,'Demand Projection'!$C$2:$C$169,$A315)</f>
        <v>0</v>
      </c>
      <c r="C315">
        <f>SUMIFS('Demand Projection'!$D$2:$D$169,'Demand Projection'!$B$2:$B$169,C$1,'Demand Projection'!$C$2:$C$169,$A315)</f>
        <v>0</v>
      </c>
      <c r="D315">
        <f>SUMIFS('Demand Projection'!$D$2:$D$169,'Demand Projection'!$B$2:$B$169,D$1,'Demand Projection'!$C$2:$C$169,$A315)</f>
        <v>0</v>
      </c>
      <c r="E315">
        <f>SUMIFS('Demand Projection'!$D$2:$D$169,'Demand Projection'!$B$2:$B$169,E$1,'Demand Projection'!$C$2:$C$169,$A315)</f>
        <v>0</v>
      </c>
      <c r="F315">
        <f>SUMIFS('Demand Projection'!$D$2:$D$169,'Demand Projection'!$B$2:$B$169,F$1,'Demand Projection'!$C$2:$C$169,$A315)</f>
        <v>0</v>
      </c>
      <c r="G315" cm="1">
        <f t="array" ref="G315">Q314+IF(ROW()-3&lt;2,0,INDEX(L:L,ROW()-3))</f>
        <v>5782</v>
      </c>
      <c r="H315" cm="1">
        <f t="array" ref="H315">R314+IF(ROW()-3&lt;2,0,INDEX(M:M,ROW()-3))</f>
        <v>7230</v>
      </c>
      <c r="I315" cm="1">
        <f t="array" ref="I315">S314+IF(ROW()-3&lt;2,0,INDEX(N:N,ROW()-3))</f>
        <v>1001</v>
      </c>
      <c r="J315" cm="1">
        <f t="array" ref="J315">T314+IF(ROW()-3&lt;2,0,INDEX(O:O,ROW()-3))</f>
        <v>11894</v>
      </c>
      <c r="K315" cm="1">
        <f t="array" ref="K315">U314+IF(ROW()-3&lt;2,0,INDEX(P:P,ROW()-3))</f>
        <v>4610</v>
      </c>
      <c r="L315">
        <f>IF(Q315&lt;_xlfn.XLOOKUP(L$1,Capacity!$D$3:$D$7,Capacity!$E$3:$E$7),_xlfn.XLOOKUP(L$1,Capacity!$D$3:$D$7,Capacity!$F$3:$F$7)-Q315,0)</f>
        <v>0</v>
      </c>
      <c r="M315">
        <f>IF(R315&lt;_xlfn.XLOOKUP(M$1,Capacity!$D$3:$D$7,Capacity!$E$3:$E$7),_xlfn.XLOOKUP(M$1,Capacity!$D$3:$D$7,Capacity!$F$3:$F$7)-R315,0)</f>
        <v>0</v>
      </c>
      <c r="N315">
        <f>IF(S315&lt;_xlfn.XLOOKUP(N$1,Capacity!$D$3:$D$7,Capacity!$E$3:$E$7),_xlfn.XLOOKUP(N$1,Capacity!$D$3:$D$7,Capacity!$F$3:$F$7)-S315,0)</f>
        <v>0</v>
      </c>
      <c r="O315">
        <f>IF(T315&lt;_xlfn.XLOOKUP(O$1,Capacity!$D$3:$D$7,Capacity!$E$3:$E$7),_xlfn.XLOOKUP(O$1,Capacity!$D$3:$D$7,Capacity!$F$3:$F$7)-T315,0)</f>
        <v>0</v>
      </c>
      <c r="P315">
        <f>IF(U315&lt;_xlfn.XLOOKUP(P$1,Capacity!$D$3:$D$7,Capacity!$E$3:$E$7),_xlfn.XLOOKUP(P$1,Capacity!$D$3:$D$7,Capacity!$F$3:$F$7)-U315,0)</f>
        <v>0</v>
      </c>
      <c r="Q315">
        <f t="shared" si="25"/>
        <v>5782</v>
      </c>
      <c r="R315">
        <f t="shared" si="26"/>
        <v>7230</v>
      </c>
      <c r="S315">
        <f t="shared" si="27"/>
        <v>1001</v>
      </c>
      <c r="T315">
        <f t="shared" si="28"/>
        <v>11894</v>
      </c>
      <c r="U315">
        <f t="shared" si="29"/>
        <v>4610</v>
      </c>
    </row>
    <row r="316" spans="1:21">
      <c r="A316" s="5">
        <f t="shared" si="30"/>
        <v>46337</v>
      </c>
      <c r="B316">
        <f>SUMIFS('Demand Projection'!$D$2:$D$169,'Demand Projection'!$B$2:$B$169,B$1,'Demand Projection'!$C$2:$C$169,$A316)</f>
        <v>0</v>
      </c>
      <c r="C316">
        <f>SUMIFS('Demand Projection'!$D$2:$D$169,'Demand Projection'!$B$2:$B$169,C$1,'Demand Projection'!$C$2:$C$169,$A316)</f>
        <v>0</v>
      </c>
      <c r="D316">
        <f>SUMIFS('Demand Projection'!$D$2:$D$169,'Demand Projection'!$B$2:$B$169,D$1,'Demand Projection'!$C$2:$C$169,$A316)</f>
        <v>0</v>
      </c>
      <c r="E316">
        <f>SUMIFS('Demand Projection'!$D$2:$D$169,'Demand Projection'!$B$2:$B$169,E$1,'Demand Projection'!$C$2:$C$169,$A316)</f>
        <v>0</v>
      </c>
      <c r="F316">
        <f>SUMIFS('Demand Projection'!$D$2:$D$169,'Demand Projection'!$B$2:$B$169,F$1,'Demand Projection'!$C$2:$C$169,$A316)</f>
        <v>0</v>
      </c>
      <c r="G316" cm="1">
        <f t="array" ref="G316">Q315+IF(ROW()-3&lt;2,0,INDEX(L:L,ROW()-3))</f>
        <v>5782</v>
      </c>
      <c r="H316" cm="1">
        <f t="array" ref="H316">R315+IF(ROW()-3&lt;2,0,INDEX(M:M,ROW()-3))</f>
        <v>7230</v>
      </c>
      <c r="I316" cm="1">
        <f t="array" ref="I316">S315+IF(ROW()-3&lt;2,0,INDEX(N:N,ROW()-3))</f>
        <v>1001</v>
      </c>
      <c r="J316" cm="1">
        <f t="array" ref="J316">T315+IF(ROW()-3&lt;2,0,INDEX(O:O,ROW()-3))</f>
        <v>11894</v>
      </c>
      <c r="K316" cm="1">
        <f t="array" ref="K316">U315+IF(ROW()-3&lt;2,0,INDEX(P:P,ROW()-3))</f>
        <v>4610</v>
      </c>
      <c r="L316">
        <f>IF(Q316&lt;_xlfn.XLOOKUP(L$1,Capacity!$D$3:$D$7,Capacity!$E$3:$E$7),_xlfn.XLOOKUP(L$1,Capacity!$D$3:$D$7,Capacity!$F$3:$F$7)-Q316,0)</f>
        <v>0</v>
      </c>
      <c r="M316">
        <f>IF(R316&lt;_xlfn.XLOOKUP(M$1,Capacity!$D$3:$D$7,Capacity!$E$3:$E$7),_xlfn.XLOOKUP(M$1,Capacity!$D$3:$D$7,Capacity!$F$3:$F$7)-R316,0)</f>
        <v>0</v>
      </c>
      <c r="N316">
        <f>IF(S316&lt;_xlfn.XLOOKUP(N$1,Capacity!$D$3:$D$7,Capacity!$E$3:$E$7),_xlfn.XLOOKUP(N$1,Capacity!$D$3:$D$7,Capacity!$F$3:$F$7)-S316,0)</f>
        <v>0</v>
      </c>
      <c r="O316">
        <f>IF(T316&lt;_xlfn.XLOOKUP(O$1,Capacity!$D$3:$D$7,Capacity!$E$3:$E$7),_xlfn.XLOOKUP(O$1,Capacity!$D$3:$D$7,Capacity!$F$3:$F$7)-T316,0)</f>
        <v>0</v>
      </c>
      <c r="P316">
        <f>IF(U316&lt;_xlfn.XLOOKUP(P$1,Capacity!$D$3:$D$7,Capacity!$E$3:$E$7),_xlfn.XLOOKUP(P$1,Capacity!$D$3:$D$7,Capacity!$F$3:$F$7)-U316,0)</f>
        <v>0</v>
      </c>
      <c r="Q316">
        <f t="shared" si="25"/>
        <v>5782</v>
      </c>
      <c r="R316">
        <f t="shared" si="26"/>
        <v>7230</v>
      </c>
      <c r="S316">
        <f t="shared" si="27"/>
        <v>1001</v>
      </c>
      <c r="T316">
        <f t="shared" si="28"/>
        <v>11894</v>
      </c>
      <c r="U316">
        <f t="shared" si="29"/>
        <v>4610</v>
      </c>
    </row>
    <row r="317" spans="1:21">
      <c r="A317" s="5">
        <f t="shared" si="30"/>
        <v>46338</v>
      </c>
      <c r="B317">
        <f>SUMIFS('Demand Projection'!$D$2:$D$169,'Demand Projection'!$B$2:$B$169,B$1,'Demand Projection'!$C$2:$C$169,$A317)</f>
        <v>0</v>
      </c>
      <c r="C317">
        <f>SUMIFS('Demand Projection'!$D$2:$D$169,'Demand Projection'!$B$2:$B$169,C$1,'Demand Projection'!$C$2:$C$169,$A317)</f>
        <v>0</v>
      </c>
      <c r="D317">
        <f>SUMIFS('Demand Projection'!$D$2:$D$169,'Demand Projection'!$B$2:$B$169,D$1,'Demand Projection'!$C$2:$C$169,$A317)</f>
        <v>0</v>
      </c>
      <c r="E317">
        <f>SUMIFS('Demand Projection'!$D$2:$D$169,'Demand Projection'!$B$2:$B$169,E$1,'Demand Projection'!$C$2:$C$169,$A317)</f>
        <v>0</v>
      </c>
      <c r="F317">
        <f>SUMIFS('Demand Projection'!$D$2:$D$169,'Demand Projection'!$B$2:$B$169,F$1,'Demand Projection'!$C$2:$C$169,$A317)</f>
        <v>280</v>
      </c>
      <c r="G317" cm="1">
        <f t="array" ref="G317">Q316+IF(ROW()-3&lt;2,0,INDEX(L:L,ROW()-3))</f>
        <v>5782</v>
      </c>
      <c r="H317" cm="1">
        <f t="array" ref="H317">R316+IF(ROW()-3&lt;2,0,INDEX(M:M,ROW()-3))</f>
        <v>7230</v>
      </c>
      <c r="I317" cm="1">
        <f t="array" ref="I317">S316+IF(ROW()-3&lt;2,0,INDEX(N:N,ROW()-3))</f>
        <v>1001</v>
      </c>
      <c r="J317" cm="1">
        <f t="array" ref="J317">T316+IF(ROW()-3&lt;2,0,INDEX(O:O,ROW()-3))</f>
        <v>11894</v>
      </c>
      <c r="K317" cm="1">
        <f t="array" ref="K317">U316+IF(ROW()-3&lt;2,0,INDEX(P:P,ROW()-3))</f>
        <v>4610</v>
      </c>
      <c r="L317">
        <f>IF(Q317&lt;_xlfn.XLOOKUP(L$1,Capacity!$D$3:$D$7,Capacity!$E$3:$E$7),_xlfn.XLOOKUP(L$1,Capacity!$D$3:$D$7,Capacity!$F$3:$F$7)-Q317,0)</f>
        <v>0</v>
      </c>
      <c r="M317">
        <f>IF(R317&lt;_xlfn.XLOOKUP(M$1,Capacity!$D$3:$D$7,Capacity!$E$3:$E$7),_xlfn.XLOOKUP(M$1,Capacity!$D$3:$D$7,Capacity!$F$3:$F$7)-R317,0)</f>
        <v>0</v>
      </c>
      <c r="N317">
        <f>IF(S317&lt;_xlfn.XLOOKUP(N$1,Capacity!$D$3:$D$7,Capacity!$E$3:$E$7),_xlfn.XLOOKUP(N$1,Capacity!$D$3:$D$7,Capacity!$F$3:$F$7)-S317,0)</f>
        <v>0</v>
      </c>
      <c r="O317">
        <f>IF(T317&lt;_xlfn.XLOOKUP(O$1,Capacity!$D$3:$D$7,Capacity!$E$3:$E$7),_xlfn.XLOOKUP(O$1,Capacity!$D$3:$D$7,Capacity!$F$3:$F$7)-T317,0)</f>
        <v>0</v>
      </c>
      <c r="P317">
        <f>IF(U317&lt;_xlfn.XLOOKUP(P$1,Capacity!$D$3:$D$7,Capacity!$E$3:$E$7),_xlfn.XLOOKUP(P$1,Capacity!$D$3:$D$7,Capacity!$F$3:$F$7)-U317,0)</f>
        <v>0</v>
      </c>
      <c r="Q317">
        <f t="shared" si="25"/>
        <v>5782</v>
      </c>
      <c r="R317">
        <f t="shared" si="26"/>
        <v>7230</v>
      </c>
      <c r="S317">
        <f t="shared" si="27"/>
        <v>1001</v>
      </c>
      <c r="T317">
        <f t="shared" si="28"/>
        <v>11894</v>
      </c>
      <c r="U317">
        <f t="shared" si="29"/>
        <v>4330</v>
      </c>
    </row>
    <row r="318" spans="1:21">
      <c r="A318" s="5">
        <f t="shared" si="30"/>
        <v>46339</v>
      </c>
      <c r="B318">
        <f>SUMIFS('Demand Projection'!$D$2:$D$169,'Demand Projection'!$B$2:$B$169,B$1,'Demand Projection'!$C$2:$C$169,$A318)</f>
        <v>0</v>
      </c>
      <c r="C318">
        <f>SUMIFS('Demand Projection'!$D$2:$D$169,'Demand Projection'!$B$2:$B$169,C$1,'Demand Projection'!$C$2:$C$169,$A318)</f>
        <v>399</v>
      </c>
      <c r="D318">
        <f>SUMIFS('Demand Projection'!$D$2:$D$169,'Demand Projection'!$B$2:$B$169,D$1,'Demand Projection'!$C$2:$C$169,$A318)</f>
        <v>0</v>
      </c>
      <c r="E318">
        <f>SUMIFS('Demand Projection'!$D$2:$D$169,'Demand Projection'!$B$2:$B$169,E$1,'Demand Projection'!$C$2:$C$169,$A318)</f>
        <v>0</v>
      </c>
      <c r="F318">
        <f>SUMIFS('Demand Projection'!$D$2:$D$169,'Demand Projection'!$B$2:$B$169,F$1,'Demand Projection'!$C$2:$C$169,$A318)</f>
        <v>0</v>
      </c>
      <c r="G318" cm="1">
        <f t="array" ref="G318">Q317+IF(ROW()-3&lt;2,0,INDEX(L:L,ROW()-3))</f>
        <v>5782</v>
      </c>
      <c r="H318" cm="1">
        <f t="array" ref="H318">R317+IF(ROW()-3&lt;2,0,INDEX(M:M,ROW()-3))</f>
        <v>7230</v>
      </c>
      <c r="I318" cm="1">
        <f t="array" ref="I318">S317+IF(ROW()-3&lt;2,0,INDEX(N:N,ROW()-3))</f>
        <v>1001</v>
      </c>
      <c r="J318" cm="1">
        <f t="array" ref="J318">T317+IF(ROW()-3&lt;2,0,INDEX(O:O,ROW()-3))</f>
        <v>11894</v>
      </c>
      <c r="K318" cm="1">
        <f t="array" ref="K318">U317+IF(ROW()-3&lt;2,0,INDEX(P:P,ROW()-3))</f>
        <v>4330</v>
      </c>
      <c r="L318">
        <f>IF(Q318&lt;_xlfn.XLOOKUP(L$1,Capacity!$D$3:$D$7,Capacity!$E$3:$E$7),_xlfn.XLOOKUP(L$1,Capacity!$D$3:$D$7,Capacity!$F$3:$F$7)-Q318,0)</f>
        <v>0</v>
      </c>
      <c r="M318">
        <f>IF(R318&lt;_xlfn.XLOOKUP(M$1,Capacity!$D$3:$D$7,Capacity!$E$3:$E$7),_xlfn.XLOOKUP(M$1,Capacity!$D$3:$D$7,Capacity!$F$3:$F$7)-R318,0)</f>
        <v>0</v>
      </c>
      <c r="N318">
        <f>IF(S318&lt;_xlfn.XLOOKUP(N$1,Capacity!$D$3:$D$7,Capacity!$E$3:$E$7),_xlfn.XLOOKUP(N$1,Capacity!$D$3:$D$7,Capacity!$F$3:$F$7)-S318,0)</f>
        <v>0</v>
      </c>
      <c r="O318">
        <f>IF(T318&lt;_xlfn.XLOOKUP(O$1,Capacity!$D$3:$D$7,Capacity!$E$3:$E$7),_xlfn.XLOOKUP(O$1,Capacity!$D$3:$D$7,Capacity!$F$3:$F$7)-T318,0)</f>
        <v>0</v>
      </c>
      <c r="P318">
        <f>IF(U318&lt;_xlfn.XLOOKUP(P$1,Capacity!$D$3:$D$7,Capacity!$E$3:$E$7),_xlfn.XLOOKUP(P$1,Capacity!$D$3:$D$7,Capacity!$F$3:$F$7)-U318,0)</f>
        <v>0</v>
      </c>
      <c r="Q318">
        <f t="shared" si="25"/>
        <v>5782</v>
      </c>
      <c r="R318">
        <f t="shared" si="26"/>
        <v>6831</v>
      </c>
      <c r="S318">
        <f t="shared" si="27"/>
        <v>1001</v>
      </c>
      <c r="T318">
        <f t="shared" si="28"/>
        <v>11894</v>
      </c>
      <c r="U318">
        <f t="shared" si="29"/>
        <v>4330</v>
      </c>
    </row>
    <row r="319" spans="1:21">
      <c r="A319" s="5">
        <f t="shared" si="30"/>
        <v>46340</v>
      </c>
      <c r="B319">
        <f>SUMIFS('Demand Projection'!$D$2:$D$169,'Demand Projection'!$B$2:$B$169,B$1,'Demand Projection'!$C$2:$C$169,$A319)</f>
        <v>0</v>
      </c>
      <c r="C319">
        <f>SUMIFS('Demand Projection'!$D$2:$D$169,'Demand Projection'!$B$2:$B$169,C$1,'Demand Projection'!$C$2:$C$169,$A319)</f>
        <v>0</v>
      </c>
      <c r="D319">
        <f>SUMIFS('Demand Projection'!$D$2:$D$169,'Demand Projection'!$B$2:$B$169,D$1,'Demand Projection'!$C$2:$C$169,$A319)</f>
        <v>0</v>
      </c>
      <c r="E319">
        <f>SUMIFS('Demand Projection'!$D$2:$D$169,'Demand Projection'!$B$2:$B$169,E$1,'Demand Projection'!$C$2:$C$169,$A319)</f>
        <v>0</v>
      </c>
      <c r="F319">
        <f>SUMIFS('Demand Projection'!$D$2:$D$169,'Demand Projection'!$B$2:$B$169,F$1,'Demand Projection'!$C$2:$C$169,$A319)</f>
        <v>0</v>
      </c>
      <c r="G319" cm="1">
        <f t="array" ref="G319">Q318+IF(ROW()-3&lt;2,0,INDEX(L:L,ROW()-3))</f>
        <v>5782</v>
      </c>
      <c r="H319" cm="1">
        <f t="array" ref="H319">R318+IF(ROW()-3&lt;2,0,INDEX(M:M,ROW()-3))</f>
        <v>6831</v>
      </c>
      <c r="I319" cm="1">
        <f t="array" ref="I319">S318+IF(ROW()-3&lt;2,0,INDEX(N:N,ROW()-3))</f>
        <v>1001</v>
      </c>
      <c r="J319" cm="1">
        <f t="array" ref="J319">T318+IF(ROW()-3&lt;2,0,INDEX(O:O,ROW()-3))</f>
        <v>11894</v>
      </c>
      <c r="K319" cm="1">
        <f t="array" ref="K319">U318+IF(ROW()-3&lt;2,0,INDEX(P:P,ROW()-3))</f>
        <v>4330</v>
      </c>
      <c r="L319">
        <f>IF(Q319&lt;_xlfn.XLOOKUP(L$1,Capacity!$D$3:$D$7,Capacity!$E$3:$E$7),_xlfn.XLOOKUP(L$1,Capacity!$D$3:$D$7,Capacity!$F$3:$F$7)-Q319,0)</f>
        <v>0</v>
      </c>
      <c r="M319">
        <f>IF(R319&lt;_xlfn.XLOOKUP(M$1,Capacity!$D$3:$D$7,Capacity!$E$3:$E$7),_xlfn.XLOOKUP(M$1,Capacity!$D$3:$D$7,Capacity!$F$3:$F$7)-R319,0)</f>
        <v>0</v>
      </c>
      <c r="N319">
        <f>IF(S319&lt;_xlfn.XLOOKUP(N$1,Capacity!$D$3:$D$7,Capacity!$E$3:$E$7),_xlfn.XLOOKUP(N$1,Capacity!$D$3:$D$7,Capacity!$F$3:$F$7)-S319,0)</f>
        <v>0</v>
      </c>
      <c r="O319">
        <f>IF(T319&lt;_xlfn.XLOOKUP(O$1,Capacity!$D$3:$D$7,Capacity!$E$3:$E$7),_xlfn.XLOOKUP(O$1,Capacity!$D$3:$D$7,Capacity!$F$3:$F$7)-T319,0)</f>
        <v>0</v>
      </c>
      <c r="P319">
        <f>IF(U319&lt;_xlfn.XLOOKUP(P$1,Capacity!$D$3:$D$7,Capacity!$E$3:$E$7),_xlfn.XLOOKUP(P$1,Capacity!$D$3:$D$7,Capacity!$F$3:$F$7)-U319,0)</f>
        <v>0</v>
      </c>
      <c r="Q319">
        <f t="shared" si="25"/>
        <v>5782</v>
      </c>
      <c r="R319">
        <f t="shared" si="26"/>
        <v>6831</v>
      </c>
      <c r="S319">
        <f t="shared" si="27"/>
        <v>1001</v>
      </c>
      <c r="T319">
        <f t="shared" si="28"/>
        <v>11894</v>
      </c>
      <c r="U319">
        <f t="shared" si="29"/>
        <v>4330</v>
      </c>
    </row>
    <row r="320" spans="1:21">
      <c r="A320" s="5">
        <f t="shared" si="30"/>
        <v>46341</v>
      </c>
      <c r="B320">
        <f>SUMIFS('Demand Projection'!$D$2:$D$169,'Demand Projection'!$B$2:$B$169,B$1,'Demand Projection'!$C$2:$C$169,$A320)</f>
        <v>0</v>
      </c>
      <c r="C320">
        <f>SUMIFS('Demand Projection'!$D$2:$D$169,'Demand Projection'!$B$2:$B$169,C$1,'Demand Projection'!$C$2:$C$169,$A320)</f>
        <v>0</v>
      </c>
      <c r="D320">
        <f>SUMIFS('Demand Projection'!$D$2:$D$169,'Demand Projection'!$B$2:$B$169,D$1,'Demand Projection'!$C$2:$C$169,$A320)</f>
        <v>0</v>
      </c>
      <c r="E320">
        <f>SUMIFS('Demand Projection'!$D$2:$D$169,'Demand Projection'!$B$2:$B$169,E$1,'Demand Projection'!$C$2:$C$169,$A320)</f>
        <v>0</v>
      </c>
      <c r="F320">
        <f>SUMIFS('Demand Projection'!$D$2:$D$169,'Demand Projection'!$B$2:$B$169,F$1,'Demand Projection'!$C$2:$C$169,$A320)</f>
        <v>0</v>
      </c>
      <c r="G320" cm="1">
        <f t="array" ref="G320">Q319+IF(ROW()-3&lt;2,0,INDEX(L:L,ROW()-3))</f>
        <v>5782</v>
      </c>
      <c r="H320" cm="1">
        <f t="array" ref="H320">R319+IF(ROW()-3&lt;2,0,INDEX(M:M,ROW()-3))</f>
        <v>6831</v>
      </c>
      <c r="I320" cm="1">
        <f t="array" ref="I320">S319+IF(ROW()-3&lt;2,0,INDEX(N:N,ROW()-3))</f>
        <v>1001</v>
      </c>
      <c r="J320" cm="1">
        <f t="array" ref="J320">T319+IF(ROW()-3&lt;2,0,INDEX(O:O,ROW()-3))</f>
        <v>11894</v>
      </c>
      <c r="K320" cm="1">
        <f t="array" ref="K320">U319+IF(ROW()-3&lt;2,0,INDEX(P:P,ROW()-3))</f>
        <v>4330</v>
      </c>
      <c r="L320">
        <f>IF(Q320&lt;_xlfn.XLOOKUP(L$1,Capacity!$D$3:$D$7,Capacity!$E$3:$E$7),_xlfn.XLOOKUP(L$1,Capacity!$D$3:$D$7,Capacity!$F$3:$F$7)-Q320,0)</f>
        <v>0</v>
      </c>
      <c r="M320">
        <f>IF(R320&lt;_xlfn.XLOOKUP(M$1,Capacity!$D$3:$D$7,Capacity!$E$3:$E$7),_xlfn.XLOOKUP(M$1,Capacity!$D$3:$D$7,Capacity!$F$3:$F$7)-R320,0)</f>
        <v>0</v>
      </c>
      <c r="N320">
        <f>IF(S320&lt;_xlfn.XLOOKUP(N$1,Capacity!$D$3:$D$7,Capacity!$E$3:$E$7),_xlfn.XLOOKUP(N$1,Capacity!$D$3:$D$7,Capacity!$F$3:$F$7)-S320,0)</f>
        <v>0</v>
      </c>
      <c r="O320">
        <f>IF(T320&lt;_xlfn.XLOOKUP(O$1,Capacity!$D$3:$D$7,Capacity!$E$3:$E$7),_xlfn.XLOOKUP(O$1,Capacity!$D$3:$D$7,Capacity!$F$3:$F$7)-T320,0)</f>
        <v>0</v>
      </c>
      <c r="P320">
        <f>IF(U320&lt;_xlfn.XLOOKUP(P$1,Capacity!$D$3:$D$7,Capacity!$E$3:$E$7),_xlfn.XLOOKUP(P$1,Capacity!$D$3:$D$7,Capacity!$F$3:$F$7)-U320,0)</f>
        <v>0</v>
      </c>
      <c r="Q320">
        <f t="shared" si="25"/>
        <v>5782</v>
      </c>
      <c r="R320">
        <f t="shared" si="26"/>
        <v>6831</v>
      </c>
      <c r="S320">
        <f t="shared" si="27"/>
        <v>1001</v>
      </c>
      <c r="T320">
        <f t="shared" si="28"/>
        <v>11894</v>
      </c>
      <c r="U320">
        <f t="shared" si="29"/>
        <v>4330</v>
      </c>
    </row>
    <row r="321" spans="1:21">
      <c r="A321" s="5">
        <f t="shared" si="30"/>
        <v>46342</v>
      </c>
      <c r="B321">
        <f>SUMIFS('Demand Projection'!$D$2:$D$169,'Demand Projection'!$B$2:$B$169,B$1,'Demand Projection'!$C$2:$C$169,$A321)</f>
        <v>0</v>
      </c>
      <c r="C321">
        <f>SUMIFS('Demand Projection'!$D$2:$D$169,'Demand Projection'!$B$2:$B$169,C$1,'Demand Projection'!$C$2:$C$169,$A321)</f>
        <v>0</v>
      </c>
      <c r="D321">
        <f>SUMIFS('Demand Projection'!$D$2:$D$169,'Demand Projection'!$B$2:$B$169,D$1,'Demand Projection'!$C$2:$C$169,$A321)</f>
        <v>0</v>
      </c>
      <c r="E321">
        <f>SUMIFS('Demand Projection'!$D$2:$D$169,'Demand Projection'!$B$2:$B$169,E$1,'Demand Projection'!$C$2:$C$169,$A321)</f>
        <v>0</v>
      </c>
      <c r="F321">
        <f>SUMIFS('Demand Projection'!$D$2:$D$169,'Demand Projection'!$B$2:$B$169,F$1,'Demand Projection'!$C$2:$C$169,$A321)</f>
        <v>0</v>
      </c>
      <c r="G321" cm="1">
        <f t="array" ref="G321">Q320+IF(ROW()-3&lt;2,0,INDEX(L:L,ROW()-3))</f>
        <v>5782</v>
      </c>
      <c r="H321" cm="1">
        <f t="array" ref="H321">R320+IF(ROW()-3&lt;2,0,INDEX(M:M,ROW()-3))</f>
        <v>6831</v>
      </c>
      <c r="I321" cm="1">
        <f t="array" ref="I321">S320+IF(ROW()-3&lt;2,0,INDEX(N:N,ROW()-3))</f>
        <v>1001</v>
      </c>
      <c r="J321" cm="1">
        <f t="array" ref="J321">T320+IF(ROW()-3&lt;2,0,INDEX(O:O,ROW()-3))</f>
        <v>11894</v>
      </c>
      <c r="K321" cm="1">
        <f t="array" ref="K321">U320+IF(ROW()-3&lt;2,0,INDEX(P:P,ROW()-3))</f>
        <v>4330</v>
      </c>
      <c r="L321">
        <f>IF(Q321&lt;_xlfn.XLOOKUP(L$1,Capacity!$D$3:$D$7,Capacity!$E$3:$E$7),_xlfn.XLOOKUP(L$1,Capacity!$D$3:$D$7,Capacity!$F$3:$F$7)-Q321,0)</f>
        <v>0</v>
      </c>
      <c r="M321">
        <f>IF(R321&lt;_xlfn.XLOOKUP(M$1,Capacity!$D$3:$D$7,Capacity!$E$3:$E$7),_xlfn.XLOOKUP(M$1,Capacity!$D$3:$D$7,Capacity!$F$3:$F$7)-R321,0)</f>
        <v>0</v>
      </c>
      <c r="N321">
        <f>IF(S321&lt;_xlfn.XLOOKUP(N$1,Capacity!$D$3:$D$7,Capacity!$E$3:$E$7),_xlfn.XLOOKUP(N$1,Capacity!$D$3:$D$7,Capacity!$F$3:$F$7)-S321,0)</f>
        <v>0</v>
      </c>
      <c r="O321">
        <f>IF(T321&lt;_xlfn.XLOOKUP(O$1,Capacity!$D$3:$D$7,Capacity!$E$3:$E$7),_xlfn.XLOOKUP(O$1,Capacity!$D$3:$D$7,Capacity!$F$3:$F$7)-T321,0)</f>
        <v>0</v>
      </c>
      <c r="P321">
        <f>IF(U321&lt;_xlfn.XLOOKUP(P$1,Capacity!$D$3:$D$7,Capacity!$E$3:$E$7),_xlfn.XLOOKUP(P$1,Capacity!$D$3:$D$7,Capacity!$F$3:$F$7)-U321,0)</f>
        <v>0</v>
      </c>
      <c r="Q321">
        <f t="shared" si="25"/>
        <v>5782</v>
      </c>
      <c r="R321">
        <f t="shared" si="26"/>
        <v>6831</v>
      </c>
      <c r="S321">
        <f t="shared" si="27"/>
        <v>1001</v>
      </c>
      <c r="T321">
        <f t="shared" si="28"/>
        <v>11894</v>
      </c>
      <c r="U321">
        <f t="shared" si="29"/>
        <v>4330</v>
      </c>
    </row>
    <row r="322" spans="1:21">
      <c r="A322" s="5">
        <f t="shared" si="30"/>
        <v>46343</v>
      </c>
      <c r="B322">
        <f>SUMIFS('Demand Projection'!$D$2:$D$169,'Demand Projection'!$B$2:$B$169,B$1,'Demand Projection'!$C$2:$C$169,$A322)</f>
        <v>0</v>
      </c>
      <c r="C322">
        <f>SUMIFS('Demand Projection'!$D$2:$D$169,'Demand Projection'!$B$2:$B$169,C$1,'Demand Projection'!$C$2:$C$169,$A322)</f>
        <v>0</v>
      </c>
      <c r="D322">
        <f>SUMIFS('Demand Projection'!$D$2:$D$169,'Demand Projection'!$B$2:$B$169,D$1,'Demand Projection'!$C$2:$C$169,$A322)</f>
        <v>0</v>
      </c>
      <c r="E322">
        <f>SUMIFS('Demand Projection'!$D$2:$D$169,'Demand Projection'!$B$2:$B$169,E$1,'Demand Projection'!$C$2:$C$169,$A322)</f>
        <v>565</v>
      </c>
      <c r="F322">
        <f>SUMIFS('Demand Projection'!$D$2:$D$169,'Demand Projection'!$B$2:$B$169,F$1,'Demand Projection'!$C$2:$C$169,$A322)</f>
        <v>0</v>
      </c>
      <c r="G322" cm="1">
        <f t="array" ref="G322">Q321+IF(ROW()-3&lt;2,0,INDEX(L:L,ROW()-3))</f>
        <v>5782</v>
      </c>
      <c r="H322" cm="1">
        <f t="array" ref="H322">R321+IF(ROW()-3&lt;2,0,INDEX(M:M,ROW()-3))</f>
        <v>6831</v>
      </c>
      <c r="I322" cm="1">
        <f t="array" ref="I322">S321+IF(ROW()-3&lt;2,0,INDEX(N:N,ROW()-3))</f>
        <v>1001</v>
      </c>
      <c r="J322" cm="1">
        <f t="array" ref="J322">T321+IF(ROW()-3&lt;2,0,INDEX(O:O,ROW()-3))</f>
        <v>11894</v>
      </c>
      <c r="K322" cm="1">
        <f t="array" ref="K322">U321+IF(ROW()-3&lt;2,0,INDEX(P:P,ROW()-3))</f>
        <v>4330</v>
      </c>
      <c r="L322">
        <f>IF(Q322&lt;_xlfn.XLOOKUP(L$1,Capacity!$D$3:$D$7,Capacity!$E$3:$E$7),_xlfn.XLOOKUP(L$1,Capacity!$D$3:$D$7,Capacity!$F$3:$F$7)-Q322,0)</f>
        <v>0</v>
      </c>
      <c r="M322">
        <f>IF(R322&lt;_xlfn.XLOOKUP(M$1,Capacity!$D$3:$D$7,Capacity!$E$3:$E$7),_xlfn.XLOOKUP(M$1,Capacity!$D$3:$D$7,Capacity!$F$3:$F$7)-R322,0)</f>
        <v>0</v>
      </c>
      <c r="N322">
        <f>IF(S322&lt;_xlfn.XLOOKUP(N$1,Capacity!$D$3:$D$7,Capacity!$E$3:$E$7),_xlfn.XLOOKUP(N$1,Capacity!$D$3:$D$7,Capacity!$F$3:$F$7)-S322,0)</f>
        <v>0</v>
      </c>
      <c r="O322">
        <f>IF(T322&lt;_xlfn.XLOOKUP(O$1,Capacity!$D$3:$D$7,Capacity!$E$3:$E$7),_xlfn.XLOOKUP(O$1,Capacity!$D$3:$D$7,Capacity!$F$3:$F$7)-T322,0)</f>
        <v>0</v>
      </c>
      <c r="P322">
        <f>IF(U322&lt;_xlfn.XLOOKUP(P$1,Capacity!$D$3:$D$7,Capacity!$E$3:$E$7),_xlfn.XLOOKUP(P$1,Capacity!$D$3:$D$7,Capacity!$F$3:$F$7)-U322,0)</f>
        <v>0</v>
      </c>
      <c r="Q322">
        <f t="shared" si="25"/>
        <v>5782</v>
      </c>
      <c r="R322">
        <f t="shared" si="26"/>
        <v>6831</v>
      </c>
      <c r="S322">
        <f t="shared" si="27"/>
        <v>1001</v>
      </c>
      <c r="T322">
        <f t="shared" si="28"/>
        <v>11329</v>
      </c>
      <c r="U322">
        <f t="shared" si="29"/>
        <v>4330</v>
      </c>
    </row>
    <row r="323" spans="1:21">
      <c r="A323" s="5">
        <f t="shared" si="30"/>
        <v>46344</v>
      </c>
      <c r="B323">
        <f>SUMIFS('Demand Projection'!$D$2:$D$169,'Demand Projection'!$B$2:$B$169,B$1,'Demand Projection'!$C$2:$C$169,$A323)</f>
        <v>0</v>
      </c>
      <c r="C323">
        <f>SUMIFS('Demand Projection'!$D$2:$D$169,'Demand Projection'!$B$2:$B$169,C$1,'Demand Projection'!$C$2:$C$169,$A323)</f>
        <v>0</v>
      </c>
      <c r="D323">
        <f>SUMIFS('Demand Projection'!$D$2:$D$169,'Demand Projection'!$B$2:$B$169,D$1,'Demand Projection'!$C$2:$C$169,$A323)</f>
        <v>0</v>
      </c>
      <c r="E323">
        <f>SUMIFS('Demand Projection'!$D$2:$D$169,'Demand Projection'!$B$2:$B$169,E$1,'Demand Projection'!$C$2:$C$169,$A323)</f>
        <v>0</v>
      </c>
      <c r="F323">
        <f>SUMIFS('Demand Projection'!$D$2:$D$169,'Demand Projection'!$B$2:$B$169,F$1,'Demand Projection'!$C$2:$C$169,$A323)</f>
        <v>0</v>
      </c>
      <c r="G323" cm="1">
        <f t="array" ref="G323">Q322+IF(ROW()-3&lt;2,0,INDEX(L:L,ROW()-3))</f>
        <v>5782</v>
      </c>
      <c r="H323" cm="1">
        <f t="array" ref="H323">R322+IF(ROW()-3&lt;2,0,INDEX(M:M,ROW()-3))</f>
        <v>6831</v>
      </c>
      <c r="I323" cm="1">
        <f t="array" ref="I323">S322+IF(ROW()-3&lt;2,0,INDEX(N:N,ROW()-3))</f>
        <v>1001</v>
      </c>
      <c r="J323" cm="1">
        <f t="array" ref="J323">T322+IF(ROW()-3&lt;2,0,INDEX(O:O,ROW()-3))</f>
        <v>11329</v>
      </c>
      <c r="K323" cm="1">
        <f t="array" ref="K323">U322+IF(ROW()-3&lt;2,0,INDEX(P:P,ROW()-3))</f>
        <v>4330</v>
      </c>
      <c r="L323">
        <f>IF(Q323&lt;_xlfn.XLOOKUP(L$1,Capacity!$D$3:$D$7,Capacity!$E$3:$E$7),_xlfn.XLOOKUP(L$1,Capacity!$D$3:$D$7,Capacity!$F$3:$F$7)-Q323,0)</f>
        <v>0</v>
      </c>
      <c r="M323">
        <f>IF(R323&lt;_xlfn.XLOOKUP(M$1,Capacity!$D$3:$D$7,Capacity!$E$3:$E$7),_xlfn.XLOOKUP(M$1,Capacity!$D$3:$D$7,Capacity!$F$3:$F$7)-R323,0)</f>
        <v>0</v>
      </c>
      <c r="N323">
        <f>IF(S323&lt;_xlfn.XLOOKUP(N$1,Capacity!$D$3:$D$7,Capacity!$E$3:$E$7),_xlfn.XLOOKUP(N$1,Capacity!$D$3:$D$7,Capacity!$F$3:$F$7)-S323,0)</f>
        <v>0</v>
      </c>
      <c r="O323">
        <f>IF(T323&lt;_xlfn.XLOOKUP(O$1,Capacity!$D$3:$D$7,Capacity!$E$3:$E$7),_xlfn.XLOOKUP(O$1,Capacity!$D$3:$D$7,Capacity!$F$3:$F$7)-T323,0)</f>
        <v>0</v>
      </c>
      <c r="P323">
        <f>IF(U323&lt;_xlfn.XLOOKUP(P$1,Capacity!$D$3:$D$7,Capacity!$E$3:$E$7),_xlfn.XLOOKUP(P$1,Capacity!$D$3:$D$7,Capacity!$F$3:$F$7)-U323,0)</f>
        <v>0</v>
      </c>
      <c r="Q323">
        <f t="shared" ref="Q323:Q366" si="31">G323-B323</f>
        <v>5782</v>
      </c>
      <c r="R323">
        <f t="shared" ref="R323:R366" si="32">H323-C323</f>
        <v>6831</v>
      </c>
      <c r="S323">
        <f t="shared" ref="S323:S366" si="33">I323-D323</f>
        <v>1001</v>
      </c>
      <c r="T323">
        <f t="shared" ref="T323:T366" si="34">J323-E323</f>
        <v>11329</v>
      </c>
      <c r="U323">
        <f t="shared" ref="U323:U366" si="35">K323-F323</f>
        <v>4330</v>
      </c>
    </row>
    <row r="324" spans="1:21">
      <c r="A324" s="5">
        <f t="shared" si="30"/>
        <v>46345</v>
      </c>
      <c r="B324">
        <f>SUMIFS('Demand Projection'!$D$2:$D$169,'Demand Projection'!$B$2:$B$169,B$1,'Demand Projection'!$C$2:$C$169,$A324)</f>
        <v>0</v>
      </c>
      <c r="C324">
        <f>SUMIFS('Demand Projection'!$D$2:$D$169,'Demand Projection'!$B$2:$B$169,C$1,'Demand Projection'!$C$2:$C$169,$A324)</f>
        <v>0</v>
      </c>
      <c r="D324">
        <f>SUMIFS('Demand Projection'!$D$2:$D$169,'Demand Projection'!$B$2:$B$169,D$1,'Demand Projection'!$C$2:$C$169,$A324)</f>
        <v>0</v>
      </c>
      <c r="E324">
        <f>SUMIFS('Demand Projection'!$D$2:$D$169,'Demand Projection'!$B$2:$B$169,E$1,'Demand Projection'!$C$2:$C$169,$A324)</f>
        <v>0</v>
      </c>
      <c r="F324">
        <f>SUMIFS('Demand Projection'!$D$2:$D$169,'Demand Projection'!$B$2:$B$169,F$1,'Demand Projection'!$C$2:$C$169,$A324)</f>
        <v>0</v>
      </c>
      <c r="G324" cm="1">
        <f t="array" ref="G324">Q323+IF(ROW()-3&lt;2,0,INDEX(L:L,ROW()-3))</f>
        <v>5782</v>
      </c>
      <c r="H324" cm="1">
        <f t="array" ref="H324">R323+IF(ROW()-3&lt;2,0,INDEX(M:M,ROW()-3))</f>
        <v>6831</v>
      </c>
      <c r="I324" cm="1">
        <f t="array" ref="I324">S323+IF(ROW()-3&lt;2,0,INDEX(N:N,ROW()-3))</f>
        <v>1001</v>
      </c>
      <c r="J324" cm="1">
        <f t="array" ref="J324">T323+IF(ROW()-3&lt;2,0,INDEX(O:O,ROW()-3))</f>
        <v>11329</v>
      </c>
      <c r="K324" cm="1">
        <f t="array" ref="K324">U323+IF(ROW()-3&lt;2,0,INDEX(P:P,ROW()-3))</f>
        <v>4330</v>
      </c>
      <c r="L324">
        <f>IF(Q324&lt;_xlfn.XLOOKUP(L$1,Capacity!$D$3:$D$7,Capacity!$E$3:$E$7),_xlfn.XLOOKUP(L$1,Capacity!$D$3:$D$7,Capacity!$F$3:$F$7)-Q324,0)</f>
        <v>0</v>
      </c>
      <c r="M324">
        <f>IF(R324&lt;_xlfn.XLOOKUP(M$1,Capacity!$D$3:$D$7,Capacity!$E$3:$E$7),_xlfn.XLOOKUP(M$1,Capacity!$D$3:$D$7,Capacity!$F$3:$F$7)-R324,0)</f>
        <v>0</v>
      </c>
      <c r="N324">
        <f>IF(S324&lt;_xlfn.XLOOKUP(N$1,Capacity!$D$3:$D$7,Capacity!$E$3:$E$7),_xlfn.XLOOKUP(N$1,Capacity!$D$3:$D$7,Capacity!$F$3:$F$7)-S324,0)</f>
        <v>0</v>
      </c>
      <c r="O324">
        <f>IF(T324&lt;_xlfn.XLOOKUP(O$1,Capacity!$D$3:$D$7,Capacity!$E$3:$E$7),_xlfn.XLOOKUP(O$1,Capacity!$D$3:$D$7,Capacity!$F$3:$F$7)-T324,0)</f>
        <v>0</v>
      </c>
      <c r="P324">
        <f>IF(U324&lt;_xlfn.XLOOKUP(P$1,Capacity!$D$3:$D$7,Capacity!$E$3:$E$7),_xlfn.XLOOKUP(P$1,Capacity!$D$3:$D$7,Capacity!$F$3:$F$7)-U324,0)</f>
        <v>0</v>
      </c>
      <c r="Q324">
        <f t="shared" si="31"/>
        <v>5782</v>
      </c>
      <c r="R324">
        <f t="shared" si="32"/>
        <v>6831</v>
      </c>
      <c r="S324">
        <f t="shared" si="33"/>
        <v>1001</v>
      </c>
      <c r="T324">
        <f t="shared" si="34"/>
        <v>11329</v>
      </c>
      <c r="U324">
        <f t="shared" si="35"/>
        <v>4330</v>
      </c>
    </row>
    <row r="325" spans="1:21">
      <c r="A325" s="5">
        <f t="shared" ref="A325:A366" si="36">A324+1</f>
        <v>46346</v>
      </c>
      <c r="B325">
        <f>SUMIFS('Demand Projection'!$D$2:$D$169,'Demand Projection'!$B$2:$B$169,B$1,'Demand Projection'!$C$2:$C$169,$A325)</f>
        <v>0</v>
      </c>
      <c r="C325">
        <f>SUMIFS('Demand Projection'!$D$2:$D$169,'Demand Projection'!$B$2:$B$169,C$1,'Demand Projection'!$C$2:$C$169,$A325)</f>
        <v>0</v>
      </c>
      <c r="D325">
        <f>SUMIFS('Demand Projection'!$D$2:$D$169,'Demand Projection'!$B$2:$B$169,D$1,'Demand Projection'!$C$2:$C$169,$A325)</f>
        <v>521</v>
      </c>
      <c r="E325">
        <f>SUMIFS('Demand Projection'!$D$2:$D$169,'Demand Projection'!$B$2:$B$169,E$1,'Demand Projection'!$C$2:$C$169,$A325)</f>
        <v>0</v>
      </c>
      <c r="F325">
        <f>SUMIFS('Demand Projection'!$D$2:$D$169,'Demand Projection'!$B$2:$B$169,F$1,'Demand Projection'!$C$2:$C$169,$A325)</f>
        <v>0</v>
      </c>
      <c r="G325" cm="1">
        <f t="array" ref="G325">Q324+IF(ROW()-3&lt;2,0,INDEX(L:L,ROW()-3))</f>
        <v>5782</v>
      </c>
      <c r="H325" cm="1">
        <f t="array" ref="H325">R324+IF(ROW()-3&lt;2,0,INDEX(M:M,ROW()-3))</f>
        <v>6831</v>
      </c>
      <c r="I325" cm="1">
        <f t="array" ref="I325">S324+IF(ROW()-3&lt;2,0,INDEX(N:N,ROW()-3))</f>
        <v>1001</v>
      </c>
      <c r="J325" cm="1">
        <f t="array" ref="J325">T324+IF(ROW()-3&lt;2,0,INDEX(O:O,ROW()-3))</f>
        <v>11329</v>
      </c>
      <c r="K325" cm="1">
        <f t="array" ref="K325">U324+IF(ROW()-3&lt;2,0,INDEX(P:P,ROW()-3))</f>
        <v>4330</v>
      </c>
      <c r="L325">
        <f>IF(Q325&lt;_xlfn.XLOOKUP(L$1,Capacity!$D$3:$D$7,Capacity!$E$3:$E$7),_xlfn.XLOOKUP(L$1,Capacity!$D$3:$D$7,Capacity!$F$3:$F$7)-Q325,0)</f>
        <v>0</v>
      </c>
      <c r="M325">
        <f>IF(R325&lt;_xlfn.XLOOKUP(M$1,Capacity!$D$3:$D$7,Capacity!$E$3:$E$7),_xlfn.XLOOKUP(M$1,Capacity!$D$3:$D$7,Capacity!$F$3:$F$7)-R325,0)</f>
        <v>0</v>
      </c>
      <c r="N325">
        <f>IF(S325&lt;_xlfn.XLOOKUP(N$1,Capacity!$D$3:$D$7,Capacity!$E$3:$E$7),_xlfn.XLOOKUP(N$1,Capacity!$D$3:$D$7,Capacity!$F$3:$F$7)-S325,0)</f>
        <v>0</v>
      </c>
      <c r="O325">
        <f>IF(T325&lt;_xlfn.XLOOKUP(O$1,Capacity!$D$3:$D$7,Capacity!$E$3:$E$7),_xlfn.XLOOKUP(O$1,Capacity!$D$3:$D$7,Capacity!$F$3:$F$7)-T325,0)</f>
        <v>0</v>
      </c>
      <c r="P325">
        <f>IF(U325&lt;_xlfn.XLOOKUP(P$1,Capacity!$D$3:$D$7,Capacity!$E$3:$E$7),_xlfn.XLOOKUP(P$1,Capacity!$D$3:$D$7,Capacity!$F$3:$F$7)-U325,0)</f>
        <v>0</v>
      </c>
      <c r="Q325">
        <f t="shared" si="31"/>
        <v>5782</v>
      </c>
      <c r="R325">
        <f t="shared" si="32"/>
        <v>6831</v>
      </c>
      <c r="S325">
        <f t="shared" si="33"/>
        <v>480</v>
      </c>
      <c r="T325">
        <f t="shared" si="34"/>
        <v>11329</v>
      </c>
      <c r="U325">
        <f t="shared" si="35"/>
        <v>4330</v>
      </c>
    </row>
    <row r="326" spans="1:21">
      <c r="A326" s="5">
        <f t="shared" si="36"/>
        <v>46347</v>
      </c>
      <c r="B326">
        <f>SUMIFS('Demand Projection'!$D$2:$D$169,'Demand Projection'!$B$2:$B$169,B$1,'Demand Projection'!$C$2:$C$169,$A326)</f>
        <v>0</v>
      </c>
      <c r="C326">
        <f>SUMIFS('Demand Projection'!$D$2:$D$169,'Demand Projection'!$B$2:$B$169,C$1,'Demand Projection'!$C$2:$C$169,$A326)</f>
        <v>0</v>
      </c>
      <c r="D326">
        <f>SUMIFS('Demand Projection'!$D$2:$D$169,'Demand Projection'!$B$2:$B$169,D$1,'Demand Projection'!$C$2:$C$169,$A326)</f>
        <v>0</v>
      </c>
      <c r="E326">
        <f>SUMIFS('Demand Projection'!$D$2:$D$169,'Demand Projection'!$B$2:$B$169,E$1,'Demand Projection'!$C$2:$C$169,$A326)</f>
        <v>0</v>
      </c>
      <c r="F326">
        <f>SUMIFS('Demand Projection'!$D$2:$D$169,'Demand Projection'!$B$2:$B$169,F$1,'Demand Projection'!$C$2:$C$169,$A326)</f>
        <v>0</v>
      </c>
      <c r="G326" cm="1">
        <f t="array" ref="G326">Q325+IF(ROW()-3&lt;2,0,INDEX(L:L,ROW()-3))</f>
        <v>5782</v>
      </c>
      <c r="H326" cm="1">
        <f t="array" ref="H326">R325+IF(ROW()-3&lt;2,0,INDEX(M:M,ROW()-3))</f>
        <v>6831</v>
      </c>
      <c r="I326" cm="1">
        <f t="array" ref="I326">S325+IF(ROW()-3&lt;2,0,INDEX(N:N,ROW()-3))</f>
        <v>480</v>
      </c>
      <c r="J326" cm="1">
        <f t="array" ref="J326">T325+IF(ROW()-3&lt;2,0,INDEX(O:O,ROW()-3))</f>
        <v>11329</v>
      </c>
      <c r="K326" cm="1">
        <f t="array" ref="K326">U325+IF(ROW()-3&lt;2,0,INDEX(P:P,ROW()-3))</f>
        <v>4330</v>
      </c>
      <c r="L326">
        <f>IF(Q326&lt;_xlfn.XLOOKUP(L$1,Capacity!$D$3:$D$7,Capacity!$E$3:$E$7),_xlfn.XLOOKUP(L$1,Capacity!$D$3:$D$7,Capacity!$F$3:$F$7)-Q326,0)</f>
        <v>0</v>
      </c>
      <c r="M326">
        <f>IF(R326&lt;_xlfn.XLOOKUP(M$1,Capacity!$D$3:$D$7,Capacity!$E$3:$E$7),_xlfn.XLOOKUP(M$1,Capacity!$D$3:$D$7,Capacity!$F$3:$F$7)-R326,0)</f>
        <v>0</v>
      </c>
      <c r="N326">
        <f>IF(S326&lt;_xlfn.XLOOKUP(N$1,Capacity!$D$3:$D$7,Capacity!$E$3:$E$7),_xlfn.XLOOKUP(N$1,Capacity!$D$3:$D$7,Capacity!$F$3:$F$7)-S326,0)</f>
        <v>0</v>
      </c>
      <c r="O326">
        <f>IF(T326&lt;_xlfn.XLOOKUP(O$1,Capacity!$D$3:$D$7,Capacity!$E$3:$E$7),_xlfn.XLOOKUP(O$1,Capacity!$D$3:$D$7,Capacity!$F$3:$F$7)-T326,0)</f>
        <v>0</v>
      </c>
      <c r="P326">
        <f>IF(U326&lt;_xlfn.XLOOKUP(P$1,Capacity!$D$3:$D$7,Capacity!$E$3:$E$7),_xlfn.XLOOKUP(P$1,Capacity!$D$3:$D$7,Capacity!$F$3:$F$7)-U326,0)</f>
        <v>0</v>
      </c>
      <c r="Q326">
        <f t="shared" si="31"/>
        <v>5782</v>
      </c>
      <c r="R326">
        <f t="shared" si="32"/>
        <v>6831</v>
      </c>
      <c r="S326">
        <f t="shared" si="33"/>
        <v>480</v>
      </c>
      <c r="T326">
        <f t="shared" si="34"/>
        <v>11329</v>
      </c>
      <c r="U326">
        <f t="shared" si="35"/>
        <v>4330</v>
      </c>
    </row>
    <row r="327" spans="1:21">
      <c r="A327" s="5">
        <f t="shared" si="36"/>
        <v>46348</v>
      </c>
      <c r="B327">
        <f>SUMIFS('Demand Projection'!$D$2:$D$169,'Demand Projection'!$B$2:$B$169,B$1,'Demand Projection'!$C$2:$C$169,$A327)</f>
        <v>0</v>
      </c>
      <c r="C327">
        <f>SUMIFS('Demand Projection'!$D$2:$D$169,'Demand Projection'!$B$2:$B$169,C$1,'Demand Projection'!$C$2:$C$169,$A327)</f>
        <v>0</v>
      </c>
      <c r="D327">
        <f>SUMIFS('Demand Projection'!$D$2:$D$169,'Demand Projection'!$B$2:$B$169,D$1,'Demand Projection'!$C$2:$C$169,$A327)</f>
        <v>0</v>
      </c>
      <c r="E327">
        <f>SUMIFS('Demand Projection'!$D$2:$D$169,'Demand Projection'!$B$2:$B$169,E$1,'Demand Projection'!$C$2:$C$169,$A327)</f>
        <v>0</v>
      </c>
      <c r="F327">
        <f>SUMIFS('Demand Projection'!$D$2:$D$169,'Demand Projection'!$B$2:$B$169,F$1,'Demand Projection'!$C$2:$C$169,$A327)</f>
        <v>0</v>
      </c>
      <c r="G327" cm="1">
        <f t="array" ref="G327">Q326+IF(ROW()-3&lt;2,0,INDEX(L:L,ROW()-3))</f>
        <v>5782</v>
      </c>
      <c r="H327" cm="1">
        <f t="array" ref="H327">R326+IF(ROW()-3&lt;2,0,INDEX(M:M,ROW()-3))</f>
        <v>6831</v>
      </c>
      <c r="I327" cm="1">
        <f t="array" ref="I327">S326+IF(ROW()-3&lt;2,0,INDEX(N:N,ROW()-3))</f>
        <v>480</v>
      </c>
      <c r="J327" cm="1">
        <f t="array" ref="J327">T326+IF(ROW()-3&lt;2,0,INDEX(O:O,ROW()-3))</f>
        <v>11329</v>
      </c>
      <c r="K327" cm="1">
        <f t="array" ref="K327">U326+IF(ROW()-3&lt;2,0,INDEX(P:P,ROW()-3))</f>
        <v>4330</v>
      </c>
      <c r="L327">
        <f>IF(Q327&lt;_xlfn.XLOOKUP(L$1,Capacity!$D$3:$D$7,Capacity!$E$3:$E$7),_xlfn.XLOOKUP(L$1,Capacity!$D$3:$D$7,Capacity!$F$3:$F$7)-Q327,0)</f>
        <v>0</v>
      </c>
      <c r="M327">
        <f>IF(R327&lt;_xlfn.XLOOKUP(M$1,Capacity!$D$3:$D$7,Capacity!$E$3:$E$7),_xlfn.XLOOKUP(M$1,Capacity!$D$3:$D$7,Capacity!$F$3:$F$7)-R327,0)</f>
        <v>0</v>
      </c>
      <c r="N327">
        <f>IF(S327&lt;_xlfn.XLOOKUP(N$1,Capacity!$D$3:$D$7,Capacity!$E$3:$E$7),_xlfn.XLOOKUP(N$1,Capacity!$D$3:$D$7,Capacity!$F$3:$F$7)-S327,0)</f>
        <v>0</v>
      </c>
      <c r="O327">
        <f>IF(T327&lt;_xlfn.XLOOKUP(O$1,Capacity!$D$3:$D$7,Capacity!$E$3:$E$7),_xlfn.XLOOKUP(O$1,Capacity!$D$3:$D$7,Capacity!$F$3:$F$7)-T327,0)</f>
        <v>0</v>
      </c>
      <c r="P327">
        <f>IF(U327&lt;_xlfn.XLOOKUP(P$1,Capacity!$D$3:$D$7,Capacity!$E$3:$E$7),_xlfn.XLOOKUP(P$1,Capacity!$D$3:$D$7,Capacity!$F$3:$F$7)-U327,0)</f>
        <v>0</v>
      </c>
      <c r="Q327">
        <f t="shared" si="31"/>
        <v>5782</v>
      </c>
      <c r="R327">
        <f t="shared" si="32"/>
        <v>6831</v>
      </c>
      <c r="S327">
        <f t="shared" si="33"/>
        <v>480</v>
      </c>
      <c r="T327">
        <f t="shared" si="34"/>
        <v>11329</v>
      </c>
      <c r="U327">
        <f t="shared" si="35"/>
        <v>4330</v>
      </c>
    </row>
    <row r="328" spans="1:21">
      <c r="A328" s="5">
        <f t="shared" si="36"/>
        <v>46349</v>
      </c>
      <c r="B328">
        <f>SUMIFS('Demand Projection'!$D$2:$D$169,'Demand Projection'!$B$2:$B$169,B$1,'Demand Projection'!$C$2:$C$169,$A328)</f>
        <v>0</v>
      </c>
      <c r="C328">
        <f>SUMIFS('Demand Projection'!$D$2:$D$169,'Demand Projection'!$B$2:$B$169,C$1,'Demand Projection'!$C$2:$C$169,$A328)</f>
        <v>0</v>
      </c>
      <c r="D328">
        <f>SUMIFS('Demand Projection'!$D$2:$D$169,'Demand Projection'!$B$2:$B$169,D$1,'Demand Projection'!$C$2:$C$169,$A328)</f>
        <v>0</v>
      </c>
      <c r="E328">
        <f>SUMIFS('Demand Projection'!$D$2:$D$169,'Demand Projection'!$B$2:$B$169,E$1,'Demand Projection'!$C$2:$C$169,$A328)</f>
        <v>0</v>
      </c>
      <c r="F328">
        <f>SUMIFS('Demand Projection'!$D$2:$D$169,'Demand Projection'!$B$2:$B$169,F$1,'Demand Projection'!$C$2:$C$169,$A328)</f>
        <v>0</v>
      </c>
      <c r="G328" cm="1">
        <f t="array" ref="G328">Q327+IF(ROW()-3&lt;2,0,INDEX(L:L,ROW()-3))</f>
        <v>5782</v>
      </c>
      <c r="H328" cm="1">
        <f t="array" ref="H328">R327+IF(ROW()-3&lt;2,0,INDEX(M:M,ROW()-3))</f>
        <v>6831</v>
      </c>
      <c r="I328" cm="1">
        <f t="array" ref="I328">S327+IF(ROW()-3&lt;2,0,INDEX(N:N,ROW()-3))</f>
        <v>480</v>
      </c>
      <c r="J328" cm="1">
        <f t="array" ref="J328">T327+IF(ROW()-3&lt;2,0,INDEX(O:O,ROW()-3))</f>
        <v>11329</v>
      </c>
      <c r="K328" cm="1">
        <f t="array" ref="K328">U327+IF(ROW()-3&lt;2,0,INDEX(P:P,ROW()-3))</f>
        <v>4330</v>
      </c>
      <c r="L328">
        <f>IF(Q328&lt;_xlfn.XLOOKUP(L$1,Capacity!$D$3:$D$7,Capacity!$E$3:$E$7),_xlfn.XLOOKUP(L$1,Capacity!$D$3:$D$7,Capacity!$F$3:$F$7)-Q328,0)</f>
        <v>0</v>
      </c>
      <c r="M328">
        <f>IF(R328&lt;_xlfn.XLOOKUP(M$1,Capacity!$D$3:$D$7,Capacity!$E$3:$E$7),_xlfn.XLOOKUP(M$1,Capacity!$D$3:$D$7,Capacity!$F$3:$F$7)-R328,0)</f>
        <v>0</v>
      </c>
      <c r="N328">
        <f>IF(S328&lt;_xlfn.XLOOKUP(N$1,Capacity!$D$3:$D$7,Capacity!$E$3:$E$7),_xlfn.XLOOKUP(N$1,Capacity!$D$3:$D$7,Capacity!$F$3:$F$7)-S328,0)</f>
        <v>0</v>
      </c>
      <c r="O328">
        <f>IF(T328&lt;_xlfn.XLOOKUP(O$1,Capacity!$D$3:$D$7,Capacity!$E$3:$E$7),_xlfn.XLOOKUP(O$1,Capacity!$D$3:$D$7,Capacity!$F$3:$F$7)-T328,0)</f>
        <v>0</v>
      </c>
      <c r="P328">
        <f>IF(U328&lt;_xlfn.XLOOKUP(P$1,Capacity!$D$3:$D$7,Capacity!$E$3:$E$7),_xlfn.XLOOKUP(P$1,Capacity!$D$3:$D$7,Capacity!$F$3:$F$7)-U328,0)</f>
        <v>0</v>
      </c>
      <c r="Q328">
        <f t="shared" si="31"/>
        <v>5782</v>
      </c>
      <c r="R328">
        <f t="shared" si="32"/>
        <v>6831</v>
      </c>
      <c r="S328">
        <f t="shared" si="33"/>
        <v>480</v>
      </c>
      <c r="T328">
        <f t="shared" si="34"/>
        <v>11329</v>
      </c>
      <c r="U328">
        <f t="shared" si="35"/>
        <v>4330</v>
      </c>
    </row>
    <row r="329" spans="1:21">
      <c r="A329" s="5">
        <f t="shared" si="36"/>
        <v>46350</v>
      </c>
      <c r="B329">
        <f>SUMIFS('Demand Projection'!$D$2:$D$169,'Demand Projection'!$B$2:$B$169,B$1,'Demand Projection'!$C$2:$C$169,$A329)</f>
        <v>719</v>
      </c>
      <c r="C329">
        <f>SUMIFS('Demand Projection'!$D$2:$D$169,'Demand Projection'!$B$2:$B$169,C$1,'Demand Projection'!$C$2:$C$169,$A329)</f>
        <v>0</v>
      </c>
      <c r="D329">
        <f>SUMIFS('Demand Projection'!$D$2:$D$169,'Demand Projection'!$B$2:$B$169,D$1,'Demand Projection'!$C$2:$C$169,$A329)</f>
        <v>0</v>
      </c>
      <c r="E329">
        <f>SUMIFS('Demand Projection'!$D$2:$D$169,'Demand Projection'!$B$2:$B$169,E$1,'Demand Projection'!$C$2:$C$169,$A329)</f>
        <v>0</v>
      </c>
      <c r="F329">
        <f>SUMIFS('Demand Projection'!$D$2:$D$169,'Demand Projection'!$B$2:$B$169,F$1,'Demand Projection'!$C$2:$C$169,$A329)</f>
        <v>0</v>
      </c>
      <c r="G329" cm="1">
        <f t="array" ref="G329">Q328+IF(ROW()-3&lt;2,0,INDEX(L:L,ROW()-3))</f>
        <v>5782</v>
      </c>
      <c r="H329" cm="1">
        <f t="array" ref="H329">R328+IF(ROW()-3&lt;2,0,INDEX(M:M,ROW()-3))</f>
        <v>6831</v>
      </c>
      <c r="I329" cm="1">
        <f t="array" ref="I329">S328+IF(ROW()-3&lt;2,0,INDEX(N:N,ROW()-3))</f>
        <v>480</v>
      </c>
      <c r="J329" cm="1">
        <f t="array" ref="J329">T328+IF(ROW()-3&lt;2,0,INDEX(O:O,ROW()-3))</f>
        <v>11329</v>
      </c>
      <c r="K329" cm="1">
        <f t="array" ref="K329">U328+IF(ROW()-3&lt;2,0,INDEX(P:P,ROW()-3))</f>
        <v>4330</v>
      </c>
      <c r="L329">
        <f>IF(Q329&lt;_xlfn.XLOOKUP(L$1,Capacity!$D$3:$D$7,Capacity!$E$3:$E$7),_xlfn.XLOOKUP(L$1,Capacity!$D$3:$D$7,Capacity!$F$3:$F$7)-Q329,0)</f>
        <v>0</v>
      </c>
      <c r="M329">
        <f>IF(R329&lt;_xlfn.XLOOKUP(M$1,Capacity!$D$3:$D$7,Capacity!$E$3:$E$7),_xlfn.XLOOKUP(M$1,Capacity!$D$3:$D$7,Capacity!$F$3:$F$7)-R329,0)</f>
        <v>0</v>
      </c>
      <c r="N329">
        <f>IF(S329&lt;_xlfn.XLOOKUP(N$1,Capacity!$D$3:$D$7,Capacity!$E$3:$E$7),_xlfn.XLOOKUP(N$1,Capacity!$D$3:$D$7,Capacity!$F$3:$F$7)-S329,0)</f>
        <v>0</v>
      </c>
      <c r="O329">
        <f>IF(T329&lt;_xlfn.XLOOKUP(O$1,Capacity!$D$3:$D$7,Capacity!$E$3:$E$7),_xlfn.XLOOKUP(O$1,Capacity!$D$3:$D$7,Capacity!$F$3:$F$7)-T329,0)</f>
        <v>0</v>
      </c>
      <c r="P329">
        <f>IF(U329&lt;_xlfn.XLOOKUP(P$1,Capacity!$D$3:$D$7,Capacity!$E$3:$E$7),_xlfn.XLOOKUP(P$1,Capacity!$D$3:$D$7,Capacity!$F$3:$F$7)-U329,0)</f>
        <v>0</v>
      </c>
      <c r="Q329">
        <f t="shared" si="31"/>
        <v>5063</v>
      </c>
      <c r="R329">
        <f t="shared" si="32"/>
        <v>6831</v>
      </c>
      <c r="S329">
        <f t="shared" si="33"/>
        <v>480</v>
      </c>
      <c r="T329">
        <f t="shared" si="34"/>
        <v>11329</v>
      </c>
      <c r="U329">
        <f t="shared" si="35"/>
        <v>4330</v>
      </c>
    </row>
    <row r="330" spans="1:21">
      <c r="A330" s="5">
        <f t="shared" si="36"/>
        <v>46351</v>
      </c>
      <c r="B330">
        <f>SUMIFS('Demand Projection'!$D$2:$D$169,'Demand Projection'!$B$2:$B$169,B$1,'Demand Projection'!$C$2:$C$169,$A330)</f>
        <v>0</v>
      </c>
      <c r="C330">
        <f>SUMIFS('Demand Projection'!$D$2:$D$169,'Demand Projection'!$B$2:$B$169,C$1,'Demand Projection'!$C$2:$C$169,$A330)</f>
        <v>0</v>
      </c>
      <c r="D330">
        <f>SUMIFS('Demand Projection'!$D$2:$D$169,'Demand Projection'!$B$2:$B$169,D$1,'Demand Projection'!$C$2:$C$169,$A330)</f>
        <v>0</v>
      </c>
      <c r="E330">
        <f>SUMIFS('Demand Projection'!$D$2:$D$169,'Demand Projection'!$B$2:$B$169,E$1,'Demand Projection'!$C$2:$C$169,$A330)</f>
        <v>0</v>
      </c>
      <c r="F330">
        <f>SUMIFS('Demand Projection'!$D$2:$D$169,'Demand Projection'!$B$2:$B$169,F$1,'Demand Projection'!$C$2:$C$169,$A330)</f>
        <v>0</v>
      </c>
      <c r="G330" cm="1">
        <f t="array" ref="G330">Q329+IF(ROW()-3&lt;2,0,INDEX(L:L,ROW()-3))</f>
        <v>5063</v>
      </c>
      <c r="H330" cm="1">
        <f t="array" ref="H330">R329+IF(ROW()-3&lt;2,0,INDEX(M:M,ROW()-3))</f>
        <v>6831</v>
      </c>
      <c r="I330" cm="1">
        <f t="array" ref="I330">S329+IF(ROW()-3&lt;2,0,INDEX(N:N,ROW()-3))</f>
        <v>480</v>
      </c>
      <c r="J330" cm="1">
        <f t="array" ref="J330">T329+IF(ROW()-3&lt;2,0,INDEX(O:O,ROW()-3))</f>
        <v>11329</v>
      </c>
      <c r="K330" cm="1">
        <f t="array" ref="K330">U329+IF(ROW()-3&lt;2,0,INDEX(P:P,ROW()-3))</f>
        <v>4330</v>
      </c>
      <c r="L330">
        <f>IF(Q330&lt;_xlfn.XLOOKUP(L$1,Capacity!$D$3:$D$7,Capacity!$E$3:$E$7),_xlfn.XLOOKUP(L$1,Capacity!$D$3:$D$7,Capacity!$F$3:$F$7)-Q330,0)</f>
        <v>0</v>
      </c>
      <c r="M330">
        <f>IF(R330&lt;_xlfn.XLOOKUP(M$1,Capacity!$D$3:$D$7,Capacity!$E$3:$E$7),_xlfn.XLOOKUP(M$1,Capacity!$D$3:$D$7,Capacity!$F$3:$F$7)-R330,0)</f>
        <v>0</v>
      </c>
      <c r="N330">
        <f>IF(S330&lt;_xlfn.XLOOKUP(N$1,Capacity!$D$3:$D$7,Capacity!$E$3:$E$7),_xlfn.XLOOKUP(N$1,Capacity!$D$3:$D$7,Capacity!$F$3:$F$7)-S330,0)</f>
        <v>0</v>
      </c>
      <c r="O330">
        <f>IF(T330&lt;_xlfn.XLOOKUP(O$1,Capacity!$D$3:$D$7,Capacity!$E$3:$E$7),_xlfn.XLOOKUP(O$1,Capacity!$D$3:$D$7,Capacity!$F$3:$F$7)-T330,0)</f>
        <v>0</v>
      </c>
      <c r="P330">
        <f>IF(U330&lt;_xlfn.XLOOKUP(P$1,Capacity!$D$3:$D$7,Capacity!$E$3:$E$7),_xlfn.XLOOKUP(P$1,Capacity!$D$3:$D$7,Capacity!$F$3:$F$7)-U330,0)</f>
        <v>0</v>
      </c>
      <c r="Q330">
        <f t="shared" si="31"/>
        <v>5063</v>
      </c>
      <c r="R330">
        <f t="shared" si="32"/>
        <v>6831</v>
      </c>
      <c r="S330">
        <f t="shared" si="33"/>
        <v>480</v>
      </c>
      <c r="T330">
        <f t="shared" si="34"/>
        <v>11329</v>
      </c>
      <c r="U330">
        <f t="shared" si="35"/>
        <v>4330</v>
      </c>
    </row>
    <row r="331" spans="1:21">
      <c r="A331" s="5">
        <f t="shared" si="36"/>
        <v>46352</v>
      </c>
      <c r="B331">
        <f>SUMIFS('Demand Projection'!$D$2:$D$169,'Demand Projection'!$B$2:$B$169,B$1,'Demand Projection'!$C$2:$C$169,$A331)</f>
        <v>0</v>
      </c>
      <c r="C331">
        <f>SUMIFS('Demand Projection'!$D$2:$D$169,'Demand Projection'!$B$2:$B$169,C$1,'Demand Projection'!$C$2:$C$169,$A331)</f>
        <v>0</v>
      </c>
      <c r="D331">
        <f>SUMIFS('Demand Projection'!$D$2:$D$169,'Demand Projection'!$B$2:$B$169,D$1,'Demand Projection'!$C$2:$C$169,$A331)</f>
        <v>0</v>
      </c>
      <c r="E331">
        <f>SUMIFS('Demand Projection'!$D$2:$D$169,'Demand Projection'!$B$2:$B$169,E$1,'Demand Projection'!$C$2:$C$169,$A331)</f>
        <v>0</v>
      </c>
      <c r="F331">
        <f>SUMIFS('Demand Projection'!$D$2:$D$169,'Demand Projection'!$B$2:$B$169,F$1,'Demand Projection'!$C$2:$C$169,$A331)</f>
        <v>0</v>
      </c>
      <c r="G331" cm="1">
        <f t="array" ref="G331">Q330+IF(ROW()-3&lt;2,0,INDEX(L:L,ROW()-3))</f>
        <v>5063</v>
      </c>
      <c r="H331" cm="1">
        <f t="array" ref="H331">R330+IF(ROW()-3&lt;2,0,INDEX(M:M,ROW()-3))</f>
        <v>6831</v>
      </c>
      <c r="I331" cm="1">
        <f t="array" ref="I331">S330+IF(ROW()-3&lt;2,0,INDEX(N:N,ROW()-3))</f>
        <v>480</v>
      </c>
      <c r="J331" cm="1">
        <f t="array" ref="J331">T330+IF(ROW()-3&lt;2,0,INDEX(O:O,ROW()-3))</f>
        <v>11329</v>
      </c>
      <c r="K331" cm="1">
        <f t="array" ref="K331">U330+IF(ROW()-3&lt;2,0,INDEX(P:P,ROW()-3))</f>
        <v>4330</v>
      </c>
      <c r="L331">
        <f>IF(Q331&lt;_xlfn.XLOOKUP(L$1,Capacity!$D$3:$D$7,Capacity!$E$3:$E$7),_xlfn.XLOOKUP(L$1,Capacity!$D$3:$D$7,Capacity!$F$3:$F$7)-Q331,0)</f>
        <v>0</v>
      </c>
      <c r="M331">
        <f>IF(R331&lt;_xlfn.XLOOKUP(M$1,Capacity!$D$3:$D$7,Capacity!$E$3:$E$7),_xlfn.XLOOKUP(M$1,Capacity!$D$3:$D$7,Capacity!$F$3:$F$7)-R331,0)</f>
        <v>0</v>
      </c>
      <c r="N331">
        <f>IF(S331&lt;_xlfn.XLOOKUP(N$1,Capacity!$D$3:$D$7,Capacity!$E$3:$E$7),_xlfn.XLOOKUP(N$1,Capacity!$D$3:$D$7,Capacity!$F$3:$F$7)-S331,0)</f>
        <v>0</v>
      </c>
      <c r="O331">
        <f>IF(T331&lt;_xlfn.XLOOKUP(O$1,Capacity!$D$3:$D$7,Capacity!$E$3:$E$7),_xlfn.XLOOKUP(O$1,Capacity!$D$3:$D$7,Capacity!$F$3:$F$7)-T331,0)</f>
        <v>0</v>
      </c>
      <c r="P331">
        <f>IF(U331&lt;_xlfn.XLOOKUP(P$1,Capacity!$D$3:$D$7,Capacity!$E$3:$E$7),_xlfn.XLOOKUP(P$1,Capacity!$D$3:$D$7,Capacity!$F$3:$F$7)-U331,0)</f>
        <v>0</v>
      </c>
      <c r="Q331">
        <f t="shared" si="31"/>
        <v>5063</v>
      </c>
      <c r="R331">
        <f t="shared" si="32"/>
        <v>6831</v>
      </c>
      <c r="S331">
        <f t="shared" si="33"/>
        <v>480</v>
      </c>
      <c r="T331">
        <f t="shared" si="34"/>
        <v>11329</v>
      </c>
      <c r="U331">
        <f t="shared" si="35"/>
        <v>4330</v>
      </c>
    </row>
    <row r="332" spans="1:21">
      <c r="A332" s="5">
        <f t="shared" si="36"/>
        <v>46353</v>
      </c>
      <c r="B332">
        <f>SUMIFS('Demand Projection'!$D$2:$D$169,'Demand Projection'!$B$2:$B$169,B$1,'Demand Projection'!$C$2:$C$169,$A332)</f>
        <v>0</v>
      </c>
      <c r="C332">
        <f>SUMIFS('Demand Projection'!$D$2:$D$169,'Demand Projection'!$B$2:$B$169,C$1,'Demand Projection'!$C$2:$C$169,$A332)</f>
        <v>0</v>
      </c>
      <c r="D332">
        <f>SUMIFS('Demand Projection'!$D$2:$D$169,'Demand Projection'!$B$2:$B$169,D$1,'Demand Projection'!$C$2:$C$169,$A332)</f>
        <v>0</v>
      </c>
      <c r="E332">
        <f>SUMIFS('Demand Projection'!$D$2:$D$169,'Demand Projection'!$B$2:$B$169,E$1,'Demand Projection'!$C$2:$C$169,$A332)</f>
        <v>0</v>
      </c>
      <c r="F332">
        <f>SUMIFS('Demand Projection'!$D$2:$D$169,'Demand Projection'!$B$2:$B$169,F$1,'Demand Projection'!$C$2:$C$169,$A332)</f>
        <v>0</v>
      </c>
      <c r="G332" cm="1">
        <f t="array" ref="G332">Q331+IF(ROW()-3&lt;2,0,INDEX(L:L,ROW()-3))</f>
        <v>5063</v>
      </c>
      <c r="H332" cm="1">
        <f t="array" ref="H332">R331+IF(ROW()-3&lt;2,0,INDEX(M:M,ROW()-3))</f>
        <v>6831</v>
      </c>
      <c r="I332" cm="1">
        <f t="array" ref="I332">S331+IF(ROW()-3&lt;2,0,INDEX(N:N,ROW()-3))</f>
        <v>480</v>
      </c>
      <c r="J332" cm="1">
        <f t="array" ref="J332">T331+IF(ROW()-3&lt;2,0,INDEX(O:O,ROW()-3))</f>
        <v>11329</v>
      </c>
      <c r="K332" cm="1">
        <f t="array" ref="K332">U331+IF(ROW()-3&lt;2,0,INDEX(P:P,ROW()-3))</f>
        <v>4330</v>
      </c>
      <c r="L332">
        <f>IF(Q332&lt;_xlfn.XLOOKUP(L$1,Capacity!$D$3:$D$7,Capacity!$E$3:$E$7),_xlfn.XLOOKUP(L$1,Capacity!$D$3:$D$7,Capacity!$F$3:$F$7)-Q332,0)</f>
        <v>0</v>
      </c>
      <c r="M332">
        <f>IF(R332&lt;_xlfn.XLOOKUP(M$1,Capacity!$D$3:$D$7,Capacity!$E$3:$E$7),_xlfn.XLOOKUP(M$1,Capacity!$D$3:$D$7,Capacity!$F$3:$F$7)-R332,0)</f>
        <v>0</v>
      </c>
      <c r="N332">
        <f>IF(S332&lt;_xlfn.XLOOKUP(N$1,Capacity!$D$3:$D$7,Capacity!$E$3:$E$7),_xlfn.XLOOKUP(N$1,Capacity!$D$3:$D$7,Capacity!$F$3:$F$7)-S332,0)</f>
        <v>0</v>
      </c>
      <c r="O332">
        <f>IF(T332&lt;_xlfn.XLOOKUP(O$1,Capacity!$D$3:$D$7,Capacity!$E$3:$E$7),_xlfn.XLOOKUP(O$1,Capacity!$D$3:$D$7,Capacity!$F$3:$F$7)-T332,0)</f>
        <v>0</v>
      </c>
      <c r="P332">
        <f>IF(U332&lt;_xlfn.XLOOKUP(P$1,Capacity!$D$3:$D$7,Capacity!$E$3:$E$7),_xlfn.XLOOKUP(P$1,Capacity!$D$3:$D$7,Capacity!$F$3:$F$7)-U332,0)</f>
        <v>0</v>
      </c>
      <c r="Q332">
        <f t="shared" si="31"/>
        <v>5063</v>
      </c>
      <c r="R332">
        <f t="shared" si="32"/>
        <v>6831</v>
      </c>
      <c r="S332">
        <f t="shared" si="33"/>
        <v>480</v>
      </c>
      <c r="T332">
        <f t="shared" si="34"/>
        <v>11329</v>
      </c>
      <c r="U332">
        <f t="shared" si="35"/>
        <v>4330</v>
      </c>
    </row>
    <row r="333" spans="1:21">
      <c r="A333" s="5">
        <f t="shared" si="36"/>
        <v>46354</v>
      </c>
      <c r="B333">
        <f>SUMIFS('Demand Projection'!$D$2:$D$169,'Demand Projection'!$B$2:$B$169,B$1,'Demand Projection'!$C$2:$C$169,$A333)</f>
        <v>0</v>
      </c>
      <c r="C333">
        <f>SUMIFS('Demand Projection'!$D$2:$D$169,'Demand Projection'!$B$2:$B$169,C$1,'Demand Projection'!$C$2:$C$169,$A333)</f>
        <v>0</v>
      </c>
      <c r="D333">
        <f>SUMIFS('Demand Projection'!$D$2:$D$169,'Demand Projection'!$B$2:$B$169,D$1,'Demand Projection'!$C$2:$C$169,$A333)</f>
        <v>0</v>
      </c>
      <c r="E333">
        <f>SUMIFS('Demand Projection'!$D$2:$D$169,'Demand Projection'!$B$2:$B$169,E$1,'Demand Projection'!$C$2:$C$169,$A333)</f>
        <v>3153</v>
      </c>
      <c r="F333">
        <f>SUMIFS('Demand Projection'!$D$2:$D$169,'Demand Projection'!$B$2:$B$169,F$1,'Demand Projection'!$C$2:$C$169,$A333)</f>
        <v>2104</v>
      </c>
      <c r="G333" cm="1">
        <f t="array" ref="G333">Q332+IF(ROW()-3&lt;2,0,INDEX(L:L,ROW()-3))</f>
        <v>5063</v>
      </c>
      <c r="H333" cm="1">
        <f t="array" ref="H333">R332+IF(ROW()-3&lt;2,0,INDEX(M:M,ROW()-3))</f>
        <v>6831</v>
      </c>
      <c r="I333" cm="1">
        <f t="array" ref="I333">S332+IF(ROW()-3&lt;2,0,INDEX(N:N,ROW()-3))</f>
        <v>480</v>
      </c>
      <c r="J333" cm="1">
        <f t="array" ref="J333">T332+IF(ROW()-3&lt;2,0,INDEX(O:O,ROW()-3))</f>
        <v>11329</v>
      </c>
      <c r="K333" cm="1">
        <f t="array" ref="K333">U332+IF(ROW()-3&lt;2,0,INDEX(P:P,ROW()-3))</f>
        <v>4330</v>
      </c>
      <c r="L333">
        <f>IF(Q333&lt;_xlfn.XLOOKUP(L$1,Capacity!$D$3:$D$7,Capacity!$E$3:$E$7),_xlfn.XLOOKUP(L$1,Capacity!$D$3:$D$7,Capacity!$F$3:$F$7)-Q333,0)</f>
        <v>0</v>
      </c>
      <c r="M333">
        <f>IF(R333&lt;_xlfn.XLOOKUP(M$1,Capacity!$D$3:$D$7,Capacity!$E$3:$E$7),_xlfn.XLOOKUP(M$1,Capacity!$D$3:$D$7,Capacity!$F$3:$F$7)-R333,0)</f>
        <v>0</v>
      </c>
      <c r="N333">
        <f>IF(S333&lt;_xlfn.XLOOKUP(N$1,Capacity!$D$3:$D$7,Capacity!$E$3:$E$7),_xlfn.XLOOKUP(N$1,Capacity!$D$3:$D$7,Capacity!$F$3:$F$7)-S333,0)</f>
        <v>0</v>
      </c>
      <c r="O333">
        <f>IF(T333&lt;_xlfn.XLOOKUP(O$1,Capacity!$D$3:$D$7,Capacity!$E$3:$E$7),_xlfn.XLOOKUP(O$1,Capacity!$D$3:$D$7,Capacity!$F$3:$F$7)-T333,0)</f>
        <v>0</v>
      </c>
      <c r="P333">
        <f>IF(U333&lt;_xlfn.XLOOKUP(P$1,Capacity!$D$3:$D$7,Capacity!$E$3:$E$7),_xlfn.XLOOKUP(P$1,Capacity!$D$3:$D$7,Capacity!$F$3:$F$7)-U333,0)</f>
        <v>0</v>
      </c>
      <c r="Q333">
        <f t="shared" si="31"/>
        <v>5063</v>
      </c>
      <c r="R333">
        <f t="shared" si="32"/>
        <v>6831</v>
      </c>
      <c r="S333">
        <f t="shared" si="33"/>
        <v>480</v>
      </c>
      <c r="T333">
        <f t="shared" si="34"/>
        <v>8176</v>
      </c>
      <c r="U333">
        <f t="shared" si="35"/>
        <v>2226</v>
      </c>
    </row>
    <row r="334" spans="1:21">
      <c r="A334" s="5">
        <f t="shared" si="36"/>
        <v>46355</v>
      </c>
      <c r="B334">
        <f>SUMIFS('Demand Projection'!$D$2:$D$169,'Demand Projection'!$B$2:$B$169,B$1,'Demand Projection'!$C$2:$C$169,$A334)</f>
        <v>0</v>
      </c>
      <c r="C334">
        <f>SUMIFS('Demand Projection'!$D$2:$D$169,'Demand Projection'!$B$2:$B$169,C$1,'Demand Projection'!$C$2:$C$169,$A334)</f>
        <v>0</v>
      </c>
      <c r="D334">
        <f>SUMIFS('Demand Projection'!$D$2:$D$169,'Demand Projection'!$B$2:$B$169,D$1,'Demand Projection'!$C$2:$C$169,$A334)</f>
        <v>0</v>
      </c>
      <c r="E334">
        <f>SUMIFS('Demand Projection'!$D$2:$D$169,'Demand Projection'!$B$2:$B$169,E$1,'Demand Projection'!$C$2:$C$169,$A334)</f>
        <v>0</v>
      </c>
      <c r="F334">
        <f>SUMIFS('Demand Projection'!$D$2:$D$169,'Demand Projection'!$B$2:$B$169,F$1,'Demand Projection'!$C$2:$C$169,$A334)</f>
        <v>0</v>
      </c>
      <c r="G334" cm="1">
        <f t="array" ref="G334">Q333+IF(ROW()-3&lt;2,0,INDEX(L:L,ROW()-3))</f>
        <v>5063</v>
      </c>
      <c r="H334" cm="1">
        <f t="array" ref="H334">R333+IF(ROW()-3&lt;2,0,INDEX(M:M,ROW()-3))</f>
        <v>6831</v>
      </c>
      <c r="I334" cm="1">
        <f t="array" ref="I334">S333+IF(ROW()-3&lt;2,0,INDEX(N:N,ROW()-3))</f>
        <v>480</v>
      </c>
      <c r="J334" cm="1">
        <f t="array" ref="J334">T333+IF(ROW()-3&lt;2,0,INDEX(O:O,ROW()-3))</f>
        <v>8176</v>
      </c>
      <c r="K334" cm="1">
        <f t="array" ref="K334">U333+IF(ROW()-3&lt;2,0,INDEX(P:P,ROW()-3))</f>
        <v>2226</v>
      </c>
      <c r="L334">
        <f>IF(Q334&lt;_xlfn.XLOOKUP(L$1,Capacity!$D$3:$D$7,Capacity!$E$3:$E$7),_xlfn.XLOOKUP(L$1,Capacity!$D$3:$D$7,Capacity!$F$3:$F$7)-Q334,0)</f>
        <v>0</v>
      </c>
      <c r="M334">
        <f>IF(R334&lt;_xlfn.XLOOKUP(M$1,Capacity!$D$3:$D$7,Capacity!$E$3:$E$7),_xlfn.XLOOKUP(M$1,Capacity!$D$3:$D$7,Capacity!$F$3:$F$7)-R334,0)</f>
        <v>0</v>
      </c>
      <c r="N334">
        <f>IF(S334&lt;_xlfn.XLOOKUP(N$1,Capacity!$D$3:$D$7,Capacity!$E$3:$E$7),_xlfn.XLOOKUP(N$1,Capacity!$D$3:$D$7,Capacity!$F$3:$F$7)-S334,0)</f>
        <v>0</v>
      </c>
      <c r="O334">
        <f>IF(T334&lt;_xlfn.XLOOKUP(O$1,Capacity!$D$3:$D$7,Capacity!$E$3:$E$7),_xlfn.XLOOKUP(O$1,Capacity!$D$3:$D$7,Capacity!$F$3:$F$7)-T334,0)</f>
        <v>0</v>
      </c>
      <c r="P334">
        <f>IF(U334&lt;_xlfn.XLOOKUP(P$1,Capacity!$D$3:$D$7,Capacity!$E$3:$E$7),_xlfn.XLOOKUP(P$1,Capacity!$D$3:$D$7,Capacity!$F$3:$F$7)-U334,0)</f>
        <v>0</v>
      </c>
      <c r="Q334">
        <f t="shared" si="31"/>
        <v>5063</v>
      </c>
      <c r="R334">
        <f t="shared" si="32"/>
        <v>6831</v>
      </c>
      <c r="S334">
        <f t="shared" si="33"/>
        <v>480</v>
      </c>
      <c r="T334">
        <f t="shared" si="34"/>
        <v>8176</v>
      </c>
      <c r="U334">
        <f t="shared" si="35"/>
        <v>2226</v>
      </c>
    </row>
    <row r="335" spans="1:21">
      <c r="A335" s="5">
        <f t="shared" si="36"/>
        <v>46356</v>
      </c>
      <c r="B335">
        <f>SUMIFS('Demand Projection'!$D$2:$D$169,'Demand Projection'!$B$2:$B$169,B$1,'Demand Projection'!$C$2:$C$169,$A335)</f>
        <v>0</v>
      </c>
      <c r="C335">
        <f>SUMIFS('Demand Projection'!$D$2:$D$169,'Demand Projection'!$B$2:$B$169,C$1,'Demand Projection'!$C$2:$C$169,$A335)</f>
        <v>0</v>
      </c>
      <c r="D335">
        <f>SUMIFS('Demand Projection'!$D$2:$D$169,'Demand Projection'!$B$2:$B$169,D$1,'Demand Projection'!$C$2:$C$169,$A335)</f>
        <v>0</v>
      </c>
      <c r="E335">
        <f>SUMIFS('Demand Projection'!$D$2:$D$169,'Demand Projection'!$B$2:$B$169,E$1,'Demand Projection'!$C$2:$C$169,$A335)</f>
        <v>0</v>
      </c>
      <c r="F335">
        <f>SUMIFS('Demand Projection'!$D$2:$D$169,'Demand Projection'!$B$2:$B$169,F$1,'Demand Projection'!$C$2:$C$169,$A335)</f>
        <v>0</v>
      </c>
      <c r="G335" cm="1">
        <f t="array" ref="G335">Q334+IF(ROW()-3&lt;2,0,INDEX(L:L,ROW()-3))</f>
        <v>5063</v>
      </c>
      <c r="H335" cm="1">
        <f t="array" ref="H335">R334+IF(ROW()-3&lt;2,0,INDEX(M:M,ROW()-3))</f>
        <v>6831</v>
      </c>
      <c r="I335" cm="1">
        <f t="array" ref="I335">S334+IF(ROW()-3&lt;2,0,INDEX(N:N,ROW()-3))</f>
        <v>480</v>
      </c>
      <c r="J335" cm="1">
        <f t="array" ref="J335">T334+IF(ROW()-3&lt;2,0,INDEX(O:O,ROW()-3))</f>
        <v>8176</v>
      </c>
      <c r="K335" cm="1">
        <f t="array" ref="K335">U334+IF(ROW()-3&lt;2,0,INDEX(P:P,ROW()-3))</f>
        <v>2226</v>
      </c>
      <c r="L335">
        <f>IF(Q335&lt;_xlfn.XLOOKUP(L$1,Capacity!$D$3:$D$7,Capacity!$E$3:$E$7),_xlfn.XLOOKUP(L$1,Capacity!$D$3:$D$7,Capacity!$F$3:$F$7)-Q335,0)</f>
        <v>0</v>
      </c>
      <c r="M335">
        <f>IF(R335&lt;_xlfn.XLOOKUP(M$1,Capacity!$D$3:$D$7,Capacity!$E$3:$E$7),_xlfn.XLOOKUP(M$1,Capacity!$D$3:$D$7,Capacity!$F$3:$F$7)-R335,0)</f>
        <v>0</v>
      </c>
      <c r="N335">
        <f>IF(S335&lt;_xlfn.XLOOKUP(N$1,Capacity!$D$3:$D$7,Capacity!$E$3:$E$7),_xlfn.XLOOKUP(N$1,Capacity!$D$3:$D$7,Capacity!$F$3:$F$7)-S335,0)</f>
        <v>0</v>
      </c>
      <c r="O335">
        <f>IF(T335&lt;_xlfn.XLOOKUP(O$1,Capacity!$D$3:$D$7,Capacity!$E$3:$E$7),_xlfn.XLOOKUP(O$1,Capacity!$D$3:$D$7,Capacity!$F$3:$F$7)-T335,0)</f>
        <v>0</v>
      </c>
      <c r="P335">
        <f>IF(U335&lt;_xlfn.XLOOKUP(P$1,Capacity!$D$3:$D$7,Capacity!$E$3:$E$7),_xlfn.XLOOKUP(P$1,Capacity!$D$3:$D$7,Capacity!$F$3:$F$7)-U335,0)</f>
        <v>0</v>
      </c>
      <c r="Q335">
        <f t="shared" si="31"/>
        <v>5063</v>
      </c>
      <c r="R335">
        <f t="shared" si="32"/>
        <v>6831</v>
      </c>
      <c r="S335">
        <f t="shared" si="33"/>
        <v>480</v>
      </c>
      <c r="T335">
        <f t="shared" si="34"/>
        <v>8176</v>
      </c>
      <c r="U335">
        <f t="shared" si="35"/>
        <v>2226</v>
      </c>
    </row>
    <row r="336" spans="1:21">
      <c r="A336" s="5">
        <f t="shared" si="36"/>
        <v>46357</v>
      </c>
      <c r="B336">
        <f>SUMIFS('Demand Projection'!$D$2:$D$169,'Demand Projection'!$B$2:$B$169,B$1,'Demand Projection'!$C$2:$C$169,$A336)</f>
        <v>0</v>
      </c>
      <c r="C336">
        <f>SUMIFS('Demand Projection'!$D$2:$D$169,'Demand Projection'!$B$2:$B$169,C$1,'Demand Projection'!$C$2:$C$169,$A336)</f>
        <v>0</v>
      </c>
      <c r="D336">
        <f>SUMIFS('Demand Projection'!$D$2:$D$169,'Demand Projection'!$B$2:$B$169,D$1,'Demand Projection'!$C$2:$C$169,$A336)</f>
        <v>0</v>
      </c>
      <c r="E336">
        <f>SUMIFS('Demand Projection'!$D$2:$D$169,'Demand Projection'!$B$2:$B$169,E$1,'Demand Projection'!$C$2:$C$169,$A336)</f>
        <v>0</v>
      </c>
      <c r="F336">
        <f>SUMIFS('Demand Projection'!$D$2:$D$169,'Demand Projection'!$B$2:$B$169,F$1,'Demand Projection'!$C$2:$C$169,$A336)</f>
        <v>0</v>
      </c>
      <c r="G336" cm="1">
        <f t="array" ref="G336">Q335+IF(ROW()-3&lt;2,0,INDEX(L:L,ROW()-3))</f>
        <v>5063</v>
      </c>
      <c r="H336" cm="1">
        <f t="array" ref="H336">R335+IF(ROW()-3&lt;2,0,INDEX(M:M,ROW()-3))</f>
        <v>6831</v>
      </c>
      <c r="I336" cm="1">
        <f t="array" ref="I336">S335+IF(ROW()-3&lt;2,0,INDEX(N:N,ROW()-3))</f>
        <v>480</v>
      </c>
      <c r="J336" cm="1">
        <f t="array" ref="J336">T335+IF(ROW()-3&lt;2,0,INDEX(O:O,ROW()-3))</f>
        <v>8176</v>
      </c>
      <c r="K336" cm="1">
        <f t="array" ref="K336">U335+IF(ROW()-3&lt;2,0,INDEX(P:P,ROW()-3))</f>
        <v>2226</v>
      </c>
      <c r="L336">
        <f>IF(Q336&lt;_xlfn.XLOOKUP(L$1,Capacity!$D$3:$D$7,Capacity!$E$3:$E$7),_xlfn.XLOOKUP(L$1,Capacity!$D$3:$D$7,Capacity!$F$3:$F$7)-Q336,0)</f>
        <v>0</v>
      </c>
      <c r="M336">
        <f>IF(R336&lt;_xlfn.XLOOKUP(M$1,Capacity!$D$3:$D$7,Capacity!$E$3:$E$7),_xlfn.XLOOKUP(M$1,Capacity!$D$3:$D$7,Capacity!$F$3:$F$7)-R336,0)</f>
        <v>0</v>
      </c>
      <c r="N336">
        <f>IF(S336&lt;_xlfn.XLOOKUP(N$1,Capacity!$D$3:$D$7,Capacity!$E$3:$E$7),_xlfn.XLOOKUP(N$1,Capacity!$D$3:$D$7,Capacity!$F$3:$F$7)-S336,0)</f>
        <v>0</v>
      </c>
      <c r="O336">
        <f>IF(T336&lt;_xlfn.XLOOKUP(O$1,Capacity!$D$3:$D$7,Capacity!$E$3:$E$7),_xlfn.XLOOKUP(O$1,Capacity!$D$3:$D$7,Capacity!$F$3:$F$7)-T336,0)</f>
        <v>0</v>
      </c>
      <c r="P336">
        <f>IF(U336&lt;_xlfn.XLOOKUP(P$1,Capacity!$D$3:$D$7,Capacity!$E$3:$E$7),_xlfn.XLOOKUP(P$1,Capacity!$D$3:$D$7,Capacity!$F$3:$F$7)-U336,0)</f>
        <v>0</v>
      </c>
      <c r="Q336">
        <f t="shared" si="31"/>
        <v>5063</v>
      </c>
      <c r="R336">
        <f t="shared" si="32"/>
        <v>6831</v>
      </c>
      <c r="S336">
        <f t="shared" si="33"/>
        <v>480</v>
      </c>
      <c r="T336">
        <f t="shared" si="34"/>
        <v>8176</v>
      </c>
      <c r="U336">
        <f t="shared" si="35"/>
        <v>2226</v>
      </c>
    </row>
    <row r="337" spans="1:21">
      <c r="A337" s="5">
        <f t="shared" si="36"/>
        <v>46358</v>
      </c>
      <c r="B337">
        <f>SUMIFS('Demand Projection'!$D$2:$D$169,'Demand Projection'!$B$2:$B$169,B$1,'Demand Projection'!$C$2:$C$169,$A337)</f>
        <v>0</v>
      </c>
      <c r="C337">
        <f>SUMIFS('Demand Projection'!$D$2:$D$169,'Demand Projection'!$B$2:$B$169,C$1,'Demand Projection'!$C$2:$C$169,$A337)</f>
        <v>0</v>
      </c>
      <c r="D337">
        <f>SUMIFS('Demand Projection'!$D$2:$D$169,'Demand Projection'!$B$2:$B$169,D$1,'Demand Projection'!$C$2:$C$169,$A337)</f>
        <v>0</v>
      </c>
      <c r="E337">
        <f>SUMIFS('Demand Projection'!$D$2:$D$169,'Demand Projection'!$B$2:$B$169,E$1,'Demand Projection'!$C$2:$C$169,$A337)</f>
        <v>0</v>
      </c>
      <c r="F337">
        <f>SUMIFS('Demand Projection'!$D$2:$D$169,'Demand Projection'!$B$2:$B$169,F$1,'Demand Projection'!$C$2:$C$169,$A337)</f>
        <v>0</v>
      </c>
      <c r="G337" cm="1">
        <f t="array" ref="G337">Q336+IF(ROW()-3&lt;2,0,INDEX(L:L,ROW()-3))</f>
        <v>5063</v>
      </c>
      <c r="H337" cm="1">
        <f t="array" ref="H337">R336+IF(ROW()-3&lt;2,0,INDEX(M:M,ROW()-3))</f>
        <v>6831</v>
      </c>
      <c r="I337" cm="1">
        <f t="array" ref="I337">S336+IF(ROW()-3&lt;2,0,INDEX(N:N,ROW()-3))</f>
        <v>480</v>
      </c>
      <c r="J337" cm="1">
        <f t="array" ref="J337">T336+IF(ROW()-3&lt;2,0,INDEX(O:O,ROW()-3))</f>
        <v>8176</v>
      </c>
      <c r="K337" cm="1">
        <f t="array" ref="K337">U336+IF(ROW()-3&lt;2,0,INDEX(P:P,ROW()-3))</f>
        <v>2226</v>
      </c>
      <c r="L337">
        <f>IF(Q337&lt;_xlfn.XLOOKUP(L$1,Capacity!$D$3:$D$7,Capacity!$E$3:$E$7),_xlfn.XLOOKUP(L$1,Capacity!$D$3:$D$7,Capacity!$F$3:$F$7)-Q337,0)</f>
        <v>0</v>
      </c>
      <c r="M337">
        <f>IF(R337&lt;_xlfn.XLOOKUP(M$1,Capacity!$D$3:$D$7,Capacity!$E$3:$E$7),_xlfn.XLOOKUP(M$1,Capacity!$D$3:$D$7,Capacity!$F$3:$F$7)-R337,0)</f>
        <v>0</v>
      </c>
      <c r="N337">
        <f>IF(S337&lt;_xlfn.XLOOKUP(N$1,Capacity!$D$3:$D$7,Capacity!$E$3:$E$7),_xlfn.XLOOKUP(N$1,Capacity!$D$3:$D$7,Capacity!$F$3:$F$7)-S337,0)</f>
        <v>0</v>
      </c>
      <c r="O337">
        <f>IF(T337&lt;_xlfn.XLOOKUP(O$1,Capacity!$D$3:$D$7,Capacity!$E$3:$E$7),_xlfn.XLOOKUP(O$1,Capacity!$D$3:$D$7,Capacity!$F$3:$F$7)-T337,0)</f>
        <v>0</v>
      </c>
      <c r="P337">
        <f>IF(U337&lt;_xlfn.XLOOKUP(P$1,Capacity!$D$3:$D$7,Capacity!$E$3:$E$7),_xlfn.XLOOKUP(P$1,Capacity!$D$3:$D$7,Capacity!$F$3:$F$7)-U337,0)</f>
        <v>0</v>
      </c>
      <c r="Q337">
        <f t="shared" si="31"/>
        <v>5063</v>
      </c>
      <c r="R337">
        <f t="shared" si="32"/>
        <v>6831</v>
      </c>
      <c r="S337">
        <f t="shared" si="33"/>
        <v>480</v>
      </c>
      <c r="T337">
        <f t="shared" si="34"/>
        <v>8176</v>
      </c>
      <c r="U337">
        <f t="shared" si="35"/>
        <v>2226</v>
      </c>
    </row>
    <row r="338" spans="1:21">
      <c r="A338" s="5">
        <f t="shared" si="36"/>
        <v>46359</v>
      </c>
      <c r="B338">
        <f>SUMIFS('Demand Projection'!$D$2:$D$169,'Demand Projection'!$B$2:$B$169,B$1,'Demand Projection'!$C$2:$C$169,$A338)</f>
        <v>848</v>
      </c>
      <c r="C338">
        <f>SUMIFS('Demand Projection'!$D$2:$D$169,'Demand Projection'!$B$2:$B$169,C$1,'Demand Projection'!$C$2:$C$169,$A338)</f>
        <v>5075</v>
      </c>
      <c r="D338">
        <f>SUMIFS('Demand Projection'!$D$2:$D$169,'Demand Projection'!$B$2:$B$169,D$1,'Demand Projection'!$C$2:$C$169,$A338)</f>
        <v>0</v>
      </c>
      <c r="E338">
        <f>SUMIFS('Demand Projection'!$D$2:$D$169,'Demand Projection'!$B$2:$B$169,E$1,'Demand Projection'!$C$2:$C$169,$A338)</f>
        <v>0</v>
      </c>
      <c r="F338">
        <f>SUMIFS('Demand Projection'!$D$2:$D$169,'Demand Projection'!$B$2:$B$169,F$1,'Demand Projection'!$C$2:$C$169,$A338)</f>
        <v>0</v>
      </c>
      <c r="G338" cm="1">
        <f t="array" ref="G338">Q337+IF(ROW()-3&lt;2,0,INDEX(L:L,ROW()-3))</f>
        <v>5063</v>
      </c>
      <c r="H338" cm="1">
        <f t="array" ref="H338">R337+IF(ROW()-3&lt;2,0,INDEX(M:M,ROW()-3))</f>
        <v>6831</v>
      </c>
      <c r="I338" cm="1">
        <f t="array" ref="I338">S337+IF(ROW()-3&lt;2,0,INDEX(N:N,ROW()-3))</f>
        <v>480</v>
      </c>
      <c r="J338" cm="1">
        <f t="array" ref="J338">T337+IF(ROW()-3&lt;2,0,INDEX(O:O,ROW()-3))</f>
        <v>8176</v>
      </c>
      <c r="K338" cm="1">
        <f t="array" ref="K338">U337+IF(ROW()-3&lt;2,0,INDEX(P:P,ROW()-3))</f>
        <v>2226</v>
      </c>
      <c r="L338">
        <f>IF(Q338&lt;_xlfn.XLOOKUP(L$1,Capacity!$D$3:$D$7,Capacity!$E$3:$E$7),_xlfn.XLOOKUP(L$1,Capacity!$D$3:$D$7,Capacity!$F$3:$F$7)-Q338,0)</f>
        <v>0</v>
      </c>
      <c r="M338">
        <f>IF(R338&lt;_xlfn.XLOOKUP(M$1,Capacity!$D$3:$D$7,Capacity!$E$3:$E$7),_xlfn.XLOOKUP(M$1,Capacity!$D$3:$D$7,Capacity!$F$3:$F$7)-R338,0)</f>
        <v>0</v>
      </c>
      <c r="N338">
        <f>IF(S338&lt;_xlfn.XLOOKUP(N$1,Capacity!$D$3:$D$7,Capacity!$E$3:$E$7),_xlfn.XLOOKUP(N$1,Capacity!$D$3:$D$7,Capacity!$F$3:$F$7)-S338,0)</f>
        <v>0</v>
      </c>
      <c r="O338">
        <f>IF(T338&lt;_xlfn.XLOOKUP(O$1,Capacity!$D$3:$D$7,Capacity!$E$3:$E$7),_xlfn.XLOOKUP(O$1,Capacity!$D$3:$D$7,Capacity!$F$3:$F$7)-T338,0)</f>
        <v>0</v>
      </c>
      <c r="P338">
        <f>IF(U338&lt;_xlfn.XLOOKUP(P$1,Capacity!$D$3:$D$7,Capacity!$E$3:$E$7),_xlfn.XLOOKUP(P$1,Capacity!$D$3:$D$7,Capacity!$F$3:$F$7)-U338,0)</f>
        <v>0</v>
      </c>
      <c r="Q338">
        <f t="shared" si="31"/>
        <v>4215</v>
      </c>
      <c r="R338">
        <f t="shared" si="32"/>
        <v>1756</v>
      </c>
      <c r="S338">
        <f t="shared" si="33"/>
        <v>480</v>
      </c>
      <c r="T338">
        <f t="shared" si="34"/>
        <v>8176</v>
      </c>
      <c r="U338">
        <f t="shared" si="35"/>
        <v>2226</v>
      </c>
    </row>
    <row r="339" spans="1:21">
      <c r="A339" s="5">
        <f t="shared" si="36"/>
        <v>46360</v>
      </c>
      <c r="B339">
        <f>SUMIFS('Demand Projection'!$D$2:$D$169,'Demand Projection'!$B$2:$B$169,B$1,'Demand Projection'!$C$2:$C$169,$A339)</f>
        <v>342</v>
      </c>
      <c r="C339">
        <f>SUMIFS('Demand Projection'!$D$2:$D$169,'Demand Projection'!$B$2:$B$169,C$1,'Demand Projection'!$C$2:$C$169,$A339)</f>
        <v>0</v>
      </c>
      <c r="D339">
        <f>SUMIFS('Demand Projection'!$D$2:$D$169,'Demand Projection'!$B$2:$B$169,D$1,'Demand Projection'!$C$2:$C$169,$A339)</f>
        <v>0</v>
      </c>
      <c r="E339">
        <f>SUMIFS('Demand Projection'!$D$2:$D$169,'Demand Projection'!$B$2:$B$169,E$1,'Demand Projection'!$C$2:$C$169,$A339)</f>
        <v>0</v>
      </c>
      <c r="F339">
        <f>SUMIFS('Demand Projection'!$D$2:$D$169,'Demand Projection'!$B$2:$B$169,F$1,'Demand Projection'!$C$2:$C$169,$A339)</f>
        <v>0</v>
      </c>
      <c r="G339" cm="1">
        <f t="array" ref="G339">Q338+IF(ROW()-3&lt;2,0,INDEX(L:L,ROW()-3))</f>
        <v>4215</v>
      </c>
      <c r="H339" cm="1">
        <f t="array" ref="H339">R338+IF(ROW()-3&lt;2,0,INDEX(M:M,ROW()-3))</f>
        <v>1756</v>
      </c>
      <c r="I339" cm="1">
        <f t="array" ref="I339">S338+IF(ROW()-3&lt;2,0,INDEX(N:N,ROW()-3))</f>
        <v>480</v>
      </c>
      <c r="J339" cm="1">
        <f t="array" ref="J339">T338+IF(ROW()-3&lt;2,0,INDEX(O:O,ROW()-3))</f>
        <v>8176</v>
      </c>
      <c r="K339" cm="1">
        <f t="array" ref="K339">U338+IF(ROW()-3&lt;2,0,INDEX(P:P,ROW()-3))</f>
        <v>2226</v>
      </c>
      <c r="L339">
        <f>IF(Q339&lt;_xlfn.XLOOKUP(L$1,Capacity!$D$3:$D$7,Capacity!$E$3:$E$7),_xlfn.XLOOKUP(L$1,Capacity!$D$3:$D$7,Capacity!$F$3:$F$7)-Q339,0)</f>
        <v>0</v>
      </c>
      <c r="M339">
        <f>IF(R339&lt;_xlfn.XLOOKUP(M$1,Capacity!$D$3:$D$7,Capacity!$E$3:$E$7),_xlfn.XLOOKUP(M$1,Capacity!$D$3:$D$7,Capacity!$F$3:$F$7)-R339,0)</f>
        <v>0</v>
      </c>
      <c r="N339">
        <f>IF(S339&lt;_xlfn.XLOOKUP(N$1,Capacity!$D$3:$D$7,Capacity!$E$3:$E$7),_xlfn.XLOOKUP(N$1,Capacity!$D$3:$D$7,Capacity!$F$3:$F$7)-S339,0)</f>
        <v>0</v>
      </c>
      <c r="O339">
        <f>IF(T339&lt;_xlfn.XLOOKUP(O$1,Capacity!$D$3:$D$7,Capacity!$E$3:$E$7),_xlfn.XLOOKUP(O$1,Capacity!$D$3:$D$7,Capacity!$F$3:$F$7)-T339,0)</f>
        <v>0</v>
      </c>
      <c r="P339">
        <f>IF(U339&lt;_xlfn.XLOOKUP(P$1,Capacity!$D$3:$D$7,Capacity!$E$3:$E$7),_xlfn.XLOOKUP(P$1,Capacity!$D$3:$D$7,Capacity!$F$3:$F$7)-U339,0)</f>
        <v>0</v>
      </c>
      <c r="Q339">
        <f t="shared" si="31"/>
        <v>3873</v>
      </c>
      <c r="R339">
        <f t="shared" si="32"/>
        <v>1756</v>
      </c>
      <c r="S339">
        <f t="shared" si="33"/>
        <v>480</v>
      </c>
      <c r="T339">
        <f t="shared" si="34"/>
        <v>8176</v>
      </c>
      <c r="U339">
        <f t="shared" si="35"/>
        <v>2226</v>
      </c>
    </row>
    <row r="340" spans="1:21">
      <c r="A340" s="5">
        <f t="shared" si="36"/>
        <v>46361</v>
      </c>
      <c r="B340">
        <f>SUMIFS('Demand Projection'!$D$2:$D$169,'Demand Projection'!$B$2:$B$169,B$1,'Demand Projection'!$C$2:$C$169,$A340)</f>
        <v>0</v>
      </c>
      <c r="C340">
        <f>SUMIFS('Demand Projection'!$D$2:$D$169,'Demand Projection'!$B$2:$B$169,C$1,'Demand Projection'!$C$2:$C$169,$A340)</f>
        <v>0</v>
      </c>
      <c r="D340">
        <f>SUMIFS('Demand Projection'!$D$2:$D$169,'Demand Projection'!$B$2:$B$169,D$1,'Demand Projection'!$C$2:$C$169,$A340)</f>
        <v>765</v>
      </c>
      <c r="E340">
        <f>SUMIFS('Demand Projection'!$D$2:$D$169,'Demand Projection'!$B$2:$B$169,E$1,'Demand Projection'!$C$2:$C$169,$A340)</f>
        <v>0</v>
      </c>
      <c r="F340">
        <f>SUMIFS('Demand Projection'!$D$2:$D$169,'Demand Projection'!$B$2:$B$169,F$1,'Demand Projection'!$C$2:$C$169,$A340)</f>
        <v>0</v>
      </c>
      <c r="G340" cm="1">
        <f t="array" ref="G340">Q339+IF(ROW()-3&lt;2,0,INDEX(L:L,ROW()-3))</f>
        <v>3873</v>
      </c>
      <c r="H340" cm="1">
        <f t="array" ref="H340">R339+IF(ROW()-3&lt;2,0,INDEX(M:M,ROW()-3))</f>
        <v>1756</v>
      </c>
      <c r="I340" cm="1">
        <f t="array" ref="I340">S339+IF(ROW()-3&lt;2,0,INDEX(N:N,ROW()-3))</f>
        <v>480</v>
      </c>
      <c r="J340" cm="1">
        <f t="array" ref="J340">T339+IF(ROW()-3&lt;2,0,INDEX(O:O,ROW()-3))</f>
        <v>8176</v>
      </c>
      <c r="K340" cm="1">
        <f t="array" ref="K340">U339+IF(ROW()-3&lt;2,0,INDEX(P:P,ROW()-3))</f>
        <v>2226</v>
      </c>
      <c r="L340">
        <f>IF(Q340&lt;_xlfn.XLOOKUP(L$1,Capacity!$D$3:$D$7,Capacity!$E$3:$E$7),_xlfn.XLOOKUP(L$1,Capacity!$D$3:$D$7,Capacity!$F$3:$F$7)-Q340,0)</f>
        <v>0</v>
      </c>
      <c r="M340">
        <f>IF(R340&lt;_xlfn.XLOOKUP(M$1,Capacity!$D$3:$D$7,Capacity!$E$3:$E$7),_xlfn.XLOOKUP(M$1,Capacity!$D$3:$D$7,Capacity!$F$3:$F$7)-R340,0)</f>
        <v>0</v>
      </c>
      <c r="N340">
        <f>IF(S340&lt;_xlfn.XLOOKUP(N$1,Capacity!$D$3:$D$7,Capacity!$E$3:$E$7),_xlfn.XLOOKUP(N$1,Capacity!$D$3:$D$7,Capacity!$F$3:$F$7)-S340,0)</f>
        <v>1822</v>
      </c>
      <c r="O340">
        <f>IF(T340&lt;_xlfn.XLOOKUP(O$1,Capacity!$D$3:$D$7,Capacity!$E$3:$E$7),_xlfn.XLOOKUP(O$1,Capacity!$D$3:$D$7,Capacity!$F$3:$F$7)-T340,0)</f>
        <v>0</v>
      </c>
      <c r="P340">
        <f>IF(U340&lt;_xlfn.XLOOKUP(P$1,Capacity!$D$3:$D$7,Capacity!$E$3:$E$7),_xlfn.XLOOKUP(P$1,Capacity!$D$3:$D$7,Capacity!$F$3:$F$7)-U340,0)</f>
        <v>0</v>
      </c>
      <c r="Q340">
        <f t="shared" si="31"/>
        <v>3873</v>
      </c>
      <c r="R340">
        <f t="shared" si="32"/>
        <v>1756</v>
      </c>
      <c r="S340">
        <f t="shared" si="33"/>
        <v>-285</v>
      </c>
      <c r="T340">
        <f t="shared" si="34"/>
        <v>8176</v>
      </c>
      <c r="U340">
        <f t="shared" si="35"/>
        <v>2226</v>
      </c>
    </row>
    <row r="341" spans="1:21">
      <c r="A341" s="5">
        <f t="shared" si="36"/>
        <v>46362</v>
      </c>
      <c r="B341">
        <f>SUMIFS('Demand Projection'!$D$2:$D$169,'Demand Projection'!$B$2:$B$169,B$1,'Demand Projection'!$C$2:$C$169,$A341)</f>
        <v>0</v>
      </c>
      <c r="C341">
        <f>SUMIFS('Demand Projection'!$D$2:$D$169,'Demand Projection'!$B$2:$B$169,C$1,'Demand Projection'!$C$2:$C$169,$A341)</f>
        <v>0</v>
      </c>
      <c r="D341">
        <f>SUMIFS('Demand Projection'!$D$2:$D$169,'Demand Projection'!$B$2:$B$169,D$1,'Demand Projection'!$C$2:$C$169,$A341)</f>
        <v>0</v>
      </c>
      <c r="E341">
        <f>SUMIFS('Demand Projection'!$D$2:$D$169,'Demand Projection'!$B$2:$B$169,E$1,'Demand Projection'!$C$2:$C$169,$A341)</f>
        <v>511</v>
      </c>
      <c r="F341">
        <f>SUMIFS('Demand Projection'!$D$2:$D$169,'Demand Projection'!$B$2:$B$169,F$1,'Demand Projection'!$C$2:$C$169,$A341)</f>
        <v>0</v>
      </c>
      <c r="G341" cm="1">
        <f t="array" ref="G341">Q340+IF(ROW()-3&lt;2,0,INDEX(L:L,ROW()-3))</f>
        <v>3873</v>
      </c>
      <c r="H341" cm="1">
        <f t="array" ref="H341">R340+IF(ROW()-3&lt;2,0,INDEX(M:M,ROW()-3))</f>
        <v>1756</v>
      </c>
      <c r="I341" cm="1">
        <f t="array" ref="I341">S340+IF(ROW()-3&lt;2,0,INDEX(N:N,ROW()-3))</f>
        <v>-285</v>
      </c>
      <c r="J341" cm="1">
        <f t="array" ref="J341">T340+IF(ROW()-3&lt;2,0,INDEX(O:O,ROW()-3))</f>
        <v>8176</v>
      </c>
      <c r="K341" cm="1">
        <f t="array" ref="K341">U340+IF(ROW()-3&lt;2,0,INDEX(P:P,ROW()-3))</f>
        <v>2226</v>
      </c>
      <c r="L341">
        <f>IF(Q341&lt;_xlfn.XLOOKUP(L$1,Capacity!$D$3:$D$7,Capacity!$E$3:$E$7),_xlfn.XLOOKUP(L$1,Capacity!$D$3:$D$7,Capacity!$F$3:$F$7)-Q341,0)</f>
        <v>0</v>
      </c>
      <c r="M341">
        <f>IF(R341&lt;_xlfn.XLOOKUP(M$1,Capacity!$D$3:$D$7,Capacity!$E$3:$E$7),_xlfn.XLOOKUP(M$1,Capacity!$D$3:$D$7,Capacity!$F$3:$F$7)-R341,0)</f>
        <v>0</v>
      </c>
      <c r="N341">
        <f>IF(S341&lt;_xlfn.XLOOKUP(N$1,Capacity!$D$3:$D$7,Capacity!$E$3:$E$7),_xlfn.XLOOKUP(N$1,Capacity!$D$3:$D$7,Capacity!$F$3:$F$7)-S341,0)</f>
        <v>1822</v>
      </c>
      <c r="O341">
        <f>IF(T341&lt;_xlfn.XLOOKUP(O$1,Capacity!$D$3:$D$7,Capacity!$E$3:$E$7),_xlfn.XLOOKUP(O$1,Capacity!$D$3:$D$7,Capacity!$F$3:$F$7)-T341,0)</f>
        <v>0</v>
      </c>
      <c r="P341">
        <f>IF(U341&lt;_xlfn.XLOOKUP(P$1,Capacity!$D$3:$D$7,Capacity!$E$3:$E$7),_xlfn.XLOOKUP(P$1,Capacity!$D$3:$D$7,Capacity!$F$3:$F$7)-U341,0)</f>
        <v>0</v>
      </c>
      <c r="Q341">
        <f t="shared" si="31"/>
        <v>3873</v>
      </c>
      <c r="R341">
        <f t="shared" si="32"/>
        <v>1756</v>
      </c>
      <c r="S341">
        <f t="shared" si="33"/>
        <v>-285</v>
      </c>
      <c r="T341">
        <f t="shared" si="34"/>
        <v>7665</v>
      </c>
      <c r="U341">
        <f t="shared" si="35"/>
        <v>2226</v>
      </c>
    </row>
    <row r="342" spans="1:21">
      <c r="A342" s="5">
        <f t="shared" si="36"/>
        <v>46363</v>
      </c>
      <c r="B342">
        <f>SUMIFS('Demand Projection'!$D$2:$D$169,'Demand Projection'!$B$2:$B$169,B$1,'Demand Projection'!$C$2:$C$169,$A342)</f>
        <v>848</v>
      </c>
      <c r="C342">
        <f>SUMIFS('Demand Projection'!$D$2:$D$169,'Demand Projection'!$B$2:$B$169,C$1,'Demand Projection'!$C$2:$C$169,$A342)</f>
        <v>0</v>
      </c>
      <c r="D342">
        <f>SUMIFS('Demand Projection'!$D$2:$D$169,'Demand Projection'!$B$2:$B$169,D$1,'Demand Projection'!$C$2:$C$169,$A342)</f>
        <v>0</v>
      </c>
      <c r="E342">
        <f>SUMIFS('Demand Projection'!$D$2:$D$169,'Demand Projection'!$B$2:$B$169,E$1,'Demand Projection'!$C$2:$C$169,$A342)</f>
        <v>0</v>
      </c>
      <c r="F342">
        <f>SUMIFS('Demand Projection'!$D$2:$D$169,'Demand Projection'!$B$2:$B$169,F$1,'Demand Projection'!$C$2:$C$169,$A342)</f>
        <v>0</v>
      </c>
      <c r="G342" cm="1">
        <f t="array" ref="G342">Q341+IF(ROW()-3&lt;2,0,INDEX(L:L,ROW()-3))</f>
        <v>3873</v>
      </c>
      <c r="H342" cm="1">
        <f t="array" ref="H342">R341+IF(ROW()-3&lt;2,0,INDEX(M:M,ROW()-3))</f>
        <v>1756</v>
      </c>
      <c r="I342" cm="1">
        <f t="array" ref="I342">S341+IF(ROW()-3&lt;2,0,INDEX(N:N,ROW()-3))</f>
        <v>-285</v>
      </c>
      <c r="J342" cm="1">
        <f t="array" ref="J342">T341+IF(ROW()-3&lt;2,0,INDEX(O:O,ROW()-3))</f>
        <v>7665</v>
      </c>
      <c r="K342" cm="1">
        <f t="array" ref="K342">U341+IF(ROW()-3&lt;2,0,INDEX(P:P,ROW()-3))</f>
        <v>2226</v>
      </c>
      <c r="L342">
        <f>IF(Q342&lt;_xlfn.XLOOKUP(L$1,Capacity!$D$3:$D$7,Capacity!$E$3:$E$7),_xlfn.XLOOKUP(L$1,Capacity!$D$3:$D$7,Capacity!$F$3:$F$7)-Q342,0)</f>
        <v>0</v>
      </c>
      <c r="M342">
        <f>IF(R342&lt;_xlfn.XLOOKUP(M$1,Capacity!$D$3:$D$7,Capacity!$E$3:$E$7),_xlfn.XLOOKUP(M$1,Capacity!$D$3:$D$7,Capacity!$F$3:$F$7)-R342,0)</f>
        <v>0</v>
      </c>
      <c r="N342">
        <f>IF(S342&lt;_xlfn.XLOOKUP(N$1,Capacity!$D$3:$D$7,Capacity!$E$3:$E$7),_xlfn.XLOOKUP(N$1,Capacity!$D$3:$D$7,Capacity!$F$3:$F$7)-S342,0)</f>
        <v>1822</v>
      </c>
      <c r="O342">
        <f>IF(T342&lt;_xlfn.XLOOKUP(O$1,Capacity!$D$3:$D$7,Capacity!$E$3:$E$7),_xlfn.XLOOKUP(O$1,Capacity!$D$3:$D$7,Capacity!$F$3:$F$7)-T342,0)</f>
        <v>0</v>
      </c>
      <c r="P342">
        <f>IF(U342&lt;_xlfn.XLOOKUP(P$1,Capacity!$D$3:$D$7,Capacity!$E$3:$E$7),_xlfn.XLOOKUP(P$1,Capacity!$D$3:$D$7,Capacity!$F$3:$F$7)-U342,0)</f>
        <v>0</v>
      </c>
      <c r="Q342">
        <f t="shared" si="31"/>
        <v>3025</v>
      </c>
      <c r="R342">
        <f t="shared" si="32"/>
        <v>1756</v>
      </c>
      <c r="S342">
        <f t="shared" si="33"/>
        <v>-285</v>
      </c>
      <c r="T342">
        <f t="shared" si="34"/>
        <v>7665</v>
      </c>
      <c r="U342">
        <f t="shared" si="35"/>
        <v>2226</v>
      </c>
    </row>
    <row r="343" spans="1:21">
      <c r="A343" s="5">
        <f t="shared" si="36"/>
        <v>46364</v>
      </c>
      <c r="B343">
        <f>SUMIFS('Demand Projection'!$D$2:$D$169,'Demand Projection'!$B$2:$B$169,B$1,'Demand Projection'!$C$2:$C$169,$A343)</f>
        <v>0</v>
      </c>
      <c r="C343">
        <f>SUMIFS('Demand Projection'!$D$2:$D$169,'Demand Projection'!$B$2:$B$169,C$1,'Demand Projection'!$C$2:$C$169,$A343)</f>
        <v>0</v>
      </c>
      <c r="D343">
        <f>SUMIFS('Demand Projection'!$D$2:$D$169,'Demand Projection'!$B$2:$B$169,D$1,'Demand Projection'!$C$2:$C$169,$A343)</f>
        <v>0</v>
      </c>
      <c r="E343">
        <f>SUMIFS('Demand Projection'!$D$2:$D$169,'Demand Projection'!$B$2:$B$169,E$1,'Demand Projection'!$C$2:$C$169,$A343)</f>
        <v>0</v>
      </c>
      <c r="F343">
        <f>SUMIFS('Demand Projection'!$D$2:$D$169,'Demand Projection'!$B$2:$B$169,F$1,'Demand Projection'!$C$2:$C$169,$A343)</f>
        <v>0</v>
      </c>
      <c r="G343" cm="1">
        <f t="array" ref="G343">Q342+IF(ROW()-3&lt;2,0,INDEX(L:L,ROW()-3))</f>
        <v>3025</v>
      </c>
      <c r="H343" cm="1">
        <f t="array" ref="H343">R342+IF(ROW()-3&lt;2,0,INDEX(M:M,ROW()-3))</f>
        <v>1756</v>
      </c>
      <c r="I343" cm="1">
        <f t="array" ref="I343">S342+IF(ROW()-3&lt;2,0,INDEX(N:N,ROW()-3))</f>
        <v>1537</v>
      </c>
      <c r="J343" cm="1">
        <f t="array" ref="J343">T342+IF(ROW()-3&lt;2,0,INDEX(O:O,ROW()-3))</f>
        <v>7665</v>
      </c>
      <c r="K343" cm="1">
        <f t="array" ref="K343">U342+IF(ROW()-3&lt;2,0,INDEX(P:P,ROW()-3))</f>
        <v>2226</v>
      </c>
      <c r="L343">
        <f>IF(Q343&lt;_xlfn.XLOOKUP(L$1,Capacity!$D$3:$D$7,Capacity!$E$3:$E$7),_xlfn.XLOOKUP(L$1,Capacity!$D$3:$D$7,Capacity!$F$3:$F$7)-Q343,0)</f>
        <v>0</v>
      </c>
      <c r="M343">
        <f>IF(R343&lt;_xlfn.XLOOKUP(M$1,Capacity!$D$3:$D$7,Capacity!$E$3:$E$7),_xlfn.XLOOKUP(M$1,Capacity!$D$3:$D$7,Capacity!$F$3:$F$7)-R343,0)</f>
        <v>0</v>
      </c>
      <c r="N343">
        <f>IF(S343&lt;_xlfn.XLOOKUP(N$1,Capacity!$D$3:$D$7,Capacity!$E$3:$E$7),_xlfn.XLOOKUP(N$1,Capacity!$D$3:$D$7,Capacity!$F$3:$F$7)-S343,0)</f>
        <v>0</v>
      </c>
      <c r="O343">
        <f>IF(T343&lt;_xlfn.XLOOKUP(O$1,Capacity!$D$3:$D$7,Capacity!$E$3:$E$7),_xlfn.XLOOKUP(O$1,Capacity!$D$3:$D$7,Capacity!$F$3:$F$7)-T343,0)</f>
        <v>0</v>
      </c>
      <c r="P343">
        <f>IF(U343&lt;_xlfn.XLOOKUP(P$1,Capacity!$D$3:$D$7,Capacity!$E$3:$E$7),_xlfn.XLOOKUP(P$1,Capacity!$D$3:$D$7,Capacity!$F$3:$F$7)-U343,0)</f>
        <v>0</v>
      </c>
      <c r="Q343">
        <f t="shared" si="31"/>
        <v>3025</v>
      </c>
      <c r="R343">
        <f t="shared" si="32"/>
        <v>1756</v>
      </c>
      <c r="S343">
        <f t="shared" si="33"/>
        <v>1537</v>
      </c>
      <c r="T343">
        <f t="shared" si="34"/>
        <v>7665</v>
      </c>
      <c r="U343">
        <f t="shared" si="35"/>
        <v>2226</v>
      </c>
    </row>
    <row r="344" spans="1:21">
      <c r="A344" s="5">
        <f t="shared" si="36"/>
        <v>46365</v>
      </c>
      <c r="B344">
        <f>SUMIFS('Demand Projection'!$D$2:$D$169,'Demand Projection'!$B$2:$B$169,B$1,'Demand Projection'!$C$2:$C$169,$A344)</f>
        <v>0</v>
      </c>
      <c r="C344">
        <f>SUMIFS('Demand Projection'!$D$2:$D$169,'Demand Projection'!$B$2:$B$169,C$1,'Demand Projection'!$C$2:$C$169,$A344)</f>
        <v>0</v>
      </c>
      <c r="D344">
        <f>SUMIFS('Demand Projection'!$D$2:$D$169,'Demand Projection'!$B$2:$B$169,D$1,'Demand Projection'!$C$2:$C$169,$A344)</f>
        <v>426</v>
      </c>
      <c r="E344">
        <f>SUMIFS('Demand Projection'!$D$2:$D$169,'Demand Projection'!$B$2:$B$169,E$1,'Demand Projection'!$C$2:$C$169,$A344)</f>
        <v>0</v>
      </c>
      <c r="F344">
        <f>SUMIFS('Demand Projection'!$D$2:$D$169,'Demand Projection'!$B$2:$B$169,F$1,'Demand Projection'!$C$2:$C$169,$A344)</f>
        <v>0</v>
      </c>
      <c r="G344" cm="1">
        <f t="array" ref="G344">Q343+IF(ROW()-3&lt;2,0,INDEX(L:L,ROW()-3))</f>
        <v>3025</v>
      </c>
      <c r="H344" cm="1">
        <f t="array" ref="H344">R343+IF(ROW()-3&lt;2,0,INDEX(M:M,ROW()-3))</f>
        <v>1756</v>
      </c>
      <c r="I344" cm="1">
        <f t="array" ref="I344">S343+IF(ROW()-3&lt;2,0,INDEX(N:N,ROW()-3))</f>
        <v>3359</v>
      </c>
      <c r="J344" cm="1">
        <f t="array" ref="J344">T343+IF(ROW()-3&lt;2,0,INDEX(O:O,ROW()-3))</f>
        <v>7665</v>
      </c>
      <c r="K344" cm="1">
        <f t="array" ref="K344">U343+IF(ROW()-3&lt;2,0,INDEX(P:P,ROW()-3))</f>
        <v>2226</v>
      </c>
      <c r="L344">
        <f>IF(Q344&lt;_xlfn.XLOOKUP(L$1,Capacity!$D$3:$D$7,Capacity!$E$3:$E$7),_xlfn.XLOOKUP(L$1,Capacity!$D$3:$D$7,Capacity!$F$3:$F$7)-Q344,0)</f>
        <v>0</v>
      </c>
      <c r="M344">
        <f>IF(R344&lt;_xlfn.XLOOKUP(M$1,Capacity!$D$3:$D$7,Capacity!$E$3:$E$7),_xlfn.XLOOKUP(M$1,Capacity!$D$3:$D$7,Capacity!$F$3:$F$7)-R344,0)</f>
        <v>0</v>
      </c>
      <c r="N344">
        <f>IF(S344&lt;_xlfn.XLOOKUP(N$1,Capacity!$D$3:$D$7,Capacity!$E$3:$E$7),_xlfn.XLOOKUP(N$1,Capacity!$D$3:$D$7,Capacity!$F$3:$F$7)-S344,0)</f>
        <v>0</v>
      </c>
      <c r="O344">
        <f>IF(T344&lt;_xlfn.XLOOKUP(O$1,Capacity!$D$3:$D$7,Capacity!$E$3:$E$7),_xlfn.XLOOKUP(O$1,Capacity!$D$3:$D$7,Capacity!$F$3:$F$7)-T344,0)</f>
        <v>0</v>
      </c>
      <c r="P344">
        <f>IF(U344&lt;_xlfn.XLOOKUP(P$1,Capacity!$D$3:$D$7,Capacity!$E$3:$E$7),_xlfn.XLOOKUP(P$1,Capacity!$D$3:$D$7,Capacity!$F$3:$F$7)-U344,0)</f>
        <v>0</v>
      </c>
      <c r="Q344">
        <f t="shared" si="31"/>
        <v>3025</v>
      </c>
      <c r="R344">
        <f t="shared" si="32"/>
        <v>1756</v>
      </c>
      <c r="S344">
        <f t="shared" si="33"/>
        <v>2933</v>
      </c>
      <c r="T344">
        <f t="shared" si="34"/>
        <v>7665</v>
      </c>
      <c r="U344">
        <f t="shared" si="35"/>
        <v>2226</v>
      </c>
    </row>
    <row r="345" spans="1:21">
      <c r="A345" s="5">
        <f t="shared" si="36"/>
        <v>46366</v>
      </c>
      <c r="B345">
        <f>SUMIFS('Demand Projection'!$D$2:$D$169,'Demand Projection'!$B$2:$B$169,B$1,'Demand Projection'!$C$2:$C$169,$A345)</f>
        <v>0</v>
      </c>
      <c r="C345">
        <f>SUMIFS('Demand Projection'!$D$2:$D$169,'Demand Projection'!$B$2:$B$169,C$1,'Demand Projection'!$C$2:$C$169,$A345)</f>
        <v>0</v>
      </c>
      <c r="D345">
        <f>SUMIFS('Demand Projection'!$D$2:$D$169,'Demand Projection'!$B$2:$B$169,D$1,'Demand Projection'!$C$2:$C$169,$A345)</f>
        <v>0</v>
      </c>
      <c r="E345">
        <f>SUMIFS('Demand Projection'!$D$2:$D$169,'Demand Projection'!$B$2:$B$169,E$1,'Demand Projection'!$C$2:$C$169,$A345)</f>
        <v>0</v>
      </c>
      <c r="F345">
        <f>SUMIFS('Demand Projection'!$D$2:$D$169,'Demand Projection'!$B$2:$B$169,F$1,'Demand Projection'!$C$2:$C$169,$A345)</f>
        <v>0</v>
      </c>
      <c r="G345" cm="1">
        <f t="array" ref="G345">Q344+IF(ROW()-3&lt;2,0,INDEX(L:L,ROW()-3))</f>
        <v>3025</v>
      </c>
      <c r="H345" cm="1">
        <f t="array" ref="H345">R344+IF(ROW()-3&lt;2,0,INDEX(M:M,ROW()-3))</f>
        <v>1756</v>
      </c>
      <c r="I345" cm="1">
        <f t="array" ref="I345">S344+IF(ROW()-3&lt;2,0,INDEX(N:N,ROW()-3))</f>
        <v>4755</v>
      </c>
      <c r="J345" cm="1">
        <f t="array" ref="J345">T344+IF(ROW()-3&lt;2,0,INDEX(O:O,ROW()-3))</f>
        <v>7665</v>
      </c>
      <c r="K345" cm="1">
        <f t="array" ref="K345">U344+IF(ROW()-3&lt;2,0,INDEX(P:P,ROW()-3))</f>
        <v>2226</v>
      </c>
      <c r="L345">
        <f>IF(Q345&lt;_xlfn.XLOOKUP(L$1,Capacity!$D$3:$D$7,Capacity!$E$3:$E$7),_xlfn.XLOOKUP(L$1,Capacity!$D$3:$D$7,Capacity!$F$3:$F$7)-Q345,0)</f>
        <v>0</v>
      </c>
      <c r="M345">
        <f>IF(R345&lt;_xlfn.XLOOKUP(M$1,Capacity!$D$3:$D$7,Capacity!$E$3:$E$7),_xlfn.XLOOKUP(M$1,Capacity!$D$3:$D$7,Capacity!$F$3:$F$7)-R345,0)</f>
        <v>0</v>
      </c>
      <c r="N345">
        <f>IF(S345&lt;_xlfn.XLOOKUP(N$1,Capacity!$D$3:$D$7,Capacity!$E$3:$E$7),_xlfn.XLOOKUP(N$1,Capacity!$D$3:$D$7,Capacity!$F$3:$F$7)-S345,0)</f>
        <v>0</v>
      </c>
      <c r="O345">
        <f>IF(T345&lt;_xlfn.XLOOKUP(O$1,Capacity!$D$3:$D$7,Capacity!$E$3:$E$7),_xlfn.XLOOKUP(O$1,Capacity!$D$3:$D$7,Capacity!$F$3:$F$7)-T345,0)</f>
        <v>0</v>
      </c>
      <c r="P345">
        <f>IF(U345&lt;_xlfn.XLOOKUP(P$1,Capacity!$D$3:$D$7,Capacity!$E$3:$E$7),_xlfn.XLOOKUP(P$1,Capacity!$D$3:$D$7,Capacity!$F$3:$F$7)-U345,0)</f>
        <v>0</v>
      </c>
      <c r="Q345">
        <f t="shared" si="31"/>
        <v>3025</v>
      </c>
      <c r="R345">
        <f t="shared" si="32"/>
        <v>1756</v>
      </c>
      <c r="S345">
        <f t="shared" si="33"/>
        <v>4755</v>
      </c>
      <c r="T345">
        <f t="shared" si="34"/>
        <v>7665</v>
      </c>
      <c r="U345">
        <f t="shared" si="35"/>
        <v>2226</v>
      </c>
    </row>
    <row r="346" spans="1:21">
      <c r="A346" s="5">
        <f t="shared" si="36"/>
        <v>46367</v>
      </c>
      <c r="B346">
        <f>SUMIFS('Demand Projection'!$D$2:$D$169,'Demand Projection'!$B$2:$B$169,B$1,'Demand Projection'!$C$2:$C$169,$A346)</f>
        <v>0</v>
      </c>
      <c r="C346">
        <f>SUMIFS('Demand Projection'!$D$2:$D$169,'Demand Projection'!$B$2:$B$169,C$1,'Demand Projection'!$C$2:$C$169,$A346)</f>
        <v>0</v>
      </c>
      <c r="D346">
        <f>SUMIFS('Demand Projection'!$D$2:$D$169,'Demand Projection'!$B$2:$B$169,D$1,'Demand Projection'!$C$2:$C$169,$A346)</f>
        <v>0</v>
      </c>
      <c r="E346">
        <f>SUMIFS('Demand Projection'!$D$2:$D$169,'Demand Projection'!$B$2:$B$169,E$1,'Demand Projection'!$C$2:$C$169,$A346)</f>
        <v>0</v>
      </c>
      <c r="F346">
        <f>SUMIFS('Demand Projection'!$D$2:$D$169,'Demand Projection'!$B$2:$B$169,F$1,'Demand Projection'!$C$2:$C$169,$A346)</f>
        <v>0</v>
      </c>
      <c r="G346" cm="1">
        <f t="array" ref="G346">Q345+IF(ROW()-3&lt;2,0,INDEX(L:L,ROW()-3))</f>
        <v>3025</v>
      </c>
      <c r="H346" cm="1">
        <f t="array" ref="H346">R345+IF(ROW()-3&lt;2,0,INDEX(M:M,ROW()-3))</f>
        <v>1756</v>
      </c>
      <c r="I346" cm="1">
        <f t="array" ref="I346">S345+IF(ROW()-3&lt;2,0,INDEX(N:N,ROW()-3))</f>
        <v>4755</v>
      </c>
      <c r="J346" cm="1">
        <f t="array" ref="J346">T345+IF(ROW()-3&lt;2,0,INDEX(O:O,ROW()-3))</f>
        <v>7665</v>
      </c>
      <c r="K346" cm="1">
        <f t="array" ref="K346">U345+IF(ROW()-3&lt;2,0,INDEX(P:P,ROW()-3))</f>
        <v>2226</v>
      </c>
      <c r="L346">
        <f>IF(Q346&lt;_xlfn.XLOOKUP(L$1,Capacity!$D$3:$D$7,Capacity!$E$3:$E$7),_xlfn.XLOOKUP(L$1,Capacity!$D$3:$D$7,Capacity!$F$3:$F$7)-Q346,0)</f>
        <v>0</v>
      </c>
      <c r="M346">
        <f>IF(R346&lt;_xlfn.XLOOKUP(M$1,Capacity!$D$3:$D$7,Capacity!$E$3:$E$7),_xlfn.XLOOKUP(M$1,Capacity!$D$3:$D$7,Capacity!$F$3:$F$7)-R346,0)</f>
        <v>0</v>
      </c>
      <c r="N346">
        <f>IF(S346&lt;_xlfn.XLOOKUP(N$1,Capacity!$D$3:$D$7,Capacity!$E$3:$E$7),_xlfn.XLOOKUP(N$1,Capacity!$D$3:$D$7,Capacity!$F$3:$F$7)-S346,0)</f>
        <v>0</v>
      </c>
      <c r="O346">
        <f>IF(T346&lt;_xlfn.XLOOKUP(O$1,Capacity!$D$3:$D$7,Capacity!$E$3:$E$7),_xlfn.XLOOKUP(O$1,Capacity!$D$3:$D$7,Capacity!$F$3:$F$7)-T346,0)</f>
        <v>0</v>
      </c>
      <c r="P346">
        <f>IF(U346&lt;_xlfn.XLOOKUP(P$1,Capacity!$D$3:$D$7,Capacity!$E$3:$E$7),_xlfn.XLOOKUP(P$1,Capacity!$D$3:$D$7,Capacity!$F$3:$F$7)-U346,0)</f>
        <v>0</v>
      </c>
      <c r="Q346">
        <f t="shared" si="31"/>
        <v>3025</v>
      </c>
      <c r="R346">
        <f t="shared" si="32"/>
        <v>1756</v>
      </c>
      <c r="S346">
        <f t="shared" si="33"/>
        <v>4755</v>
      </c>
      <c r="T346">
        <f t="shared" si="34"/>
        <v>7665</v>
      </c>
      <c r="U346">
        <f t="shared" si="35"/>
        <v>2226</v>
      </c>
    </row>
    <row r="347" spans="1:21">
      <c r="A347" s="5">
        <f t="shared" si="36"/>
        <v>46368</v>
      </c>
      <c r="B347">
        <f>SUMIFS('Demand Projection'!$D$2:$D$169,'Demand Projection'!$B$2:$B$169,B$1,'Demand Projection'!$C$2:$C$169,$A347)</f>
        <v>0</v>
      </c>
      <c r="C347">
        <f>SUMIFS('Demand Projection'!$D$2:$D$169,'Demand Projection'!$B$2:$B$169,C$1,'Demand Projection'!$C$2:$C$169,$A347)</f>
        <v>0</v>
      </c>
      <c r="D347">
        <f>SUMIFS('Demand Projection'!$D$2:$D$169,'Demand Projection'!$B$2:$B$169,D$1,'Demand Projection'!$C$2:$C$169,$A347)</f>
        <v>0</v>
      </c>
      <c r="E347">
        <f>SUMIFS('Demand Projection'!$D$2:$D$169,'Demand Projection'!$B$2:$B$169,E$1,'Demand Projection'!$C$2:$C$169,$A347)</f>
        <v>0</v>
      </c>
      <c r="F347">
        <f>SUMIFS('Demand Projection'!$D$2:$D$169,'Demand Projection'!$B$2:$B$169,F$1,'Demand Projection'!$C$2:$C$169,$A347)</f>
        <v>314</v>
      </c>
      <c r="G347" cm="1">
        <f t="array" ref="G347">Q346+IF(ROW()-3&lt;2,0,INDEX(L:L,ROW()-3))</f>
        <v>3025</v>
      </c>
      <c r="H347" cm="1">
        <f t="array" ref="H347">R346+IF(ROW()-3&lt;2,0,INDEX(M:M,ROW()-3))</f>
        <v>1756</v>
      </c>
      <c r="I347" cm="1">
        <f t="array" ref="I347">S346+IF(ROW()-3&lt;2,0,INDEX(N:N,ROW()-3))</f>
        <v>4755</v>
      </c>
      <c r="J347" cm="1">
        <f t="array" ref="J347">T346+IF(ROW()-3&lt;2,0,INDEX(O:O,ROW()-3))</f>
        <v>7665</v>
      </c>
      <c r="K347" cm="1">
        <f t="array" ref="K347">U346+IF(ROW()-3&lt;2,0,INDEX(P:P,ROW()-3))</f>
        <v>2226</v>
      </c>
      <c r="L347">
        <f>IF(Q347&lt;_xlfn.XLOOKUP(L$1,Capacity!$D$3:$D$7,Capacity!$E$3:$E$7),_xlfn.XLOOKUP(L$1,Capacity!$D$3:$D$7,Capacity!$F$3:$F$7)-Q347,0)</f>
        <v>0</v>
      </c>
      <c r="M347">
        <f>IF(R347&lt;_xlfn.XLOOKUP(M$1,Capacity!$D$3:$D$7,Capacity!$E$3:$E$7),_xlfn.XLOOKUP(M$1,Capacity!$D$3:$D$7,Capacity!$F$3:$F$7)-R347,0)</f>
        <v>0</v>
      </c>
      <c r="N347">
        <f>IF(S347&lt;_xlfn.XLOOKUP(N$1,Capacity!$D$3:$D$7,Capacity!$E$3:$E$7),_xlfn.XLOOKUP(N$1,Capacity!$D$3:$D$7,Capacity!$F$3:$F$7)-S347,0)</f>
        <v>0</v>
      </c>
      <c r="O347">
        <f>IF(T347&lt;_xlfn.XLOOKUP(O$1,Capacity!$D$3:$D$7,Capacity!$E$3:$E$7),_xlfn.XLOOKUP(O$1,Capacity!$D$3:$D$7,Capacity!$F$3:$F$7)-T347,0)</f>
        <v>0</v>
      </c>
      <c r="P347">
        <f>IF(U347&lt;_xlfn.XLOOKUP(P$1,Capacity!$D$3:$D$7,Capacity!$E$3:$E$7),_xlfn.XLOOKUP(P$1,Capacity!$D$3:$D$7,Capacity!$F$3:$F$7)-U347,0)</f>
        <v>0</v>
      </c>
      <c r="Q347">
        <f t="shared" si="31"/>
        <v>3025</v>
      </c>
      <c r="R347">
        <f t="shared" si="32"/>
        <v>1756</v>
      </c>
      <c r="S347">
        <f t="shared" si="33"/>
        <v>4755</v>
      </c>
      <c r="T347">
        <f t="shared" si="34"/>
        <v>7665</v>
      </c>
      <c r="U347">
        <f t="shared" si="35"/>
        <v>1912</v>
      </c>
    </row>
    <row r="348" spans="1:21">
      <c r="A348" s="5">
        <f t="shared" si="36"/>
        <v>46369</v>
      </c>
      <c r="B348">
        <f>SUMIFS('Demand Projection'!$D$2:$D$169,'Demand Projection'!$B$2:$B$169,B$1,'Demand Projection'!$C$2:$C$169,$A348)</f>
        <v>0</v>
      </c>
      <c r="C348">
        <f>SUMIFS('Demand Projection'!$D$2:$D$169,'Demand Projection'!$B$2:$B$169,C$1,'Demand Projection'!$C$2:$C$169,$A348)</f>
        <v>447</v>
      </c>
      <c r="D348">
        <f>SUMIFS('Demand Projection'!$D$2:$D$169,'Demand Projection'!$B$2:$B$169,D$1,'Demand Projection'!$C$2:$C$169,$A348)</f>
        <v>0</v>
      </c>
      <c r="E348">
        <f>SUMIFS('Demand Projection'!$D$2:$D$169,'Demand Projection'!$B$2:$B$169,E$1,'Demand Projection'!$C$2:$C$169,$A348)</f>
        <v>0</v>
      </c>
      <c r="F348">
        <f>SUMIFS('Demand Projection'!$D$2:$D$169,'Demand Projection'!$B$2:$B$169,F$1,'Demand Projection'!$C$2:$C$169,$A348)</f>
        <v>0</v>
      </c>
      <c r="G348" cm="1">
        <f t="array" ref="G348">Q347+IF(ROW()-3&lt;2,0,INDEX(L:L,ROW()-3))</f>
        <v>3025</v>
      </c>
      <c r="H348" cm="1">
        <f t="array" ref="H348">R347+IF(ROW()-3&lt;2,0,INDEX(M:M,ROW()-3))</f>
        <v>1756</v>
      </c>
      <c r="I348" cm="1">
        <f t="array" ref="I348">S347+IF(ROW()-3&lt;2,0,INDEX(N:N,ROW()-3))</f>
        <v>4755</v>
      </c>
      <c r="J348" cm="1">
        <f t="array" ref="J348">T347+IF(ROW()-3&lt;2,0,INDEX(O:O,ROW()-3))</f>
        <v>7665</v>
      </c>
      <c r="K348" cm="1">
        <f t="array" ref="K348">U347+IF(ROW()-3&lt;2,0,INDEX(P:P,ROW()-3))</f>
        <v>1912</v>
      </c>
      <c r="L348">
        <f>IF(Q348&lt;_xlfn.XLOOKUP(L$1,Capacity!$D$3:$D$7,Capacity!$E$3:$E$7),_xlfn.XLOOKUP(L$1,Capacity!$D$3:$D$7,Capacity!$F$3:$F$7)-Q348,0)</f>
        <v>0</v>
      </c>
      <c r="M348">
        <f>IF(R348&lt;_xlfn.XLOOKUP(M$1,Capacity!$D$3:$D$7,Capacity!$E$3:$E$7),_xlfn.XLOOKUP(M$1,Capacity!$D$3:$D$7,Capacity!$F$3:$F$7)-R348,0)</f>
        <v>0</v>
      </c>
      <c r="N348">
        <f>IF(S348&lt;_xlfn.XLOOKUP(N$1,Capacity!$D$3:$D$7,Capacity!$E$3:$E$7),_xlfn.XLOOKUP(N$1,Capacity!$D$3:$D$7,Capacity!$F$3:$F$7)-S348,0)</f>
        <v>0</v>
      </c>
      <c r="O348">
        <f>IF(T348&lt;_xlfn.XLOOKUP(O$1,Capacity!$D$3:$D$7,Capacity!$E$3:$E$7),_xlfn.XLOOKUP(O$1,Capacity!$D$3:$D$7,Capacity!$F$3:$F$7)-T348,0)</f>
        <v>0</v>
      </c>
      <c r="P348">
        <f>IF(U348&lt;_xlfn.XLOOKUP(P$1,Capacity!$D$3:$D$7,Capacity!$E$3:$E$7),_xlfn.XLOOKUP(P$1,Capacity!$D$3:$D$7,Capacity!$F$3:$F$7)-U348,0)</f>
        <v>0</v>
      </c>
      <c r="Q348">
        <f t="shared" si="31"/>
        <v>3025</v>
      </c>
      <c r="R348">
        <f t="shared" si="32"/>
        <v>1309</v>
      </c>
      <c r="S348">
        <f t="shared" si="33"/>
        <v>4755</v>
      </c>
      <c r="T348">
        <f t="shared" si="34"/>
        <v>7665</v>
      </c>
      <c r="U348">
        <f t="shared" si="35"/>
        <v>1912</v>
      </c>
    </row>
    <row r="349" spans="1:21">
      <c r="A349" s="5">
        <f t="shared" si="36"/>
        <v>46370</v>
      </c>
      <c r="B349">
        <f>SUMIFS('Demand Projection'!$D$2:$D$169,'Demand Projection'!$B$2:$B$169,B$1,'Demand Projection'!$C$2:$C$169,$A349)</f>
        <v>0</v>
      </c>
      <c r="C349">
        <f>SUMIFS('Demand Projection'!$D$2:$D$169,'Demand Projection'!$B$2:$B$169,C$1,'Demand Projection'!$C$2:$C$169,$A349)</f>
        <v>0</v>
      </c>
      <c r="D349">
        <f>SUMIFS('Demand Projection'!$D$2:$D$169,'Demand Projection'!$B$2:$B$169,D$1,'Demand Projection'!$C$2:$C$169,$A349)</f>
        <v>0</v>
      </c>
      <c r="E349">
        <f>SUMIFS('Demand Projection'!$D$2:$D$169,'Demand Projection'!$B$2:$B$169,E$1,'Demand Projection'!$C$2:$C$169,$A349)</f>
        <v>0</v>
      </c>
      <c r="F349">
        <f>SUMIFS('Demand Projection'!$D$2:$D$169,'Demand Projection'!$B$2:$B$169,F$1,'Demand Projection'!$C$2:$C$169,$A349)</f>
        <v>0</v>
      </c>
      <c r="G349" cm="1">
        <f t="array" ref="G349">Q348+IF(ROW()-3&lt;2,0,INDEX(L:L,ROW()-3))</f>
        <v>3025</v>
      </c>
      <c r="H349" cm="1">
        <f t="array" ref="H349">R348+IF(ROW()-3&lt;2,0,INDEX(M:M,ROW()-3))</f>
        <v>1309</v>
      </c>
      <c r="I349" cm="1">
        <f t="array" ref="I349">S348+IF(ROW()-3&lt;2,0,INDEX(N:N,ROW()-3))</f>
        <v>4755</v>
      </c>
      <c r="J349" cm="1">
        <f t="array" ref="J349">T348+IF(ROW()-3&lt;2,0,INDEX(O:O,ROW()-3))</f>
        <v>7665</v>
      </c>
      <c r="K349" cm="1">
        <f t="array" ref="K349">U348+IF(ROW()-3&lt;2,0,INDEX(P:P,ROW()-3))</f>
        <v>1912</v>
      </c>
      <c r="L349">
        <f>IF(Q349&lt;_xlfn.XLOOKUP(L$1,Capacity!$D$3:$D$7,Capacity!$E$3:$E$7),_xlfn.XLOOKUP(L$1,Capacity!$D$3:$D$7,Capacity!$F$3:$F$7)-Q349,0)</f>
        <v>0</v>
      </c>
      <c r="M349">
        <f>IF(R349&lt;_xlfn.XLOOKUP(M$1,Capacity!$D$3:$D$7,Capacity!$E$3:$E$7),_xlfn.XLOOKUP(M$1,Capacity!$D$3:$D$7,Capacity!$F$3:$F$7)-R349,0)</f>
        <v>0</v>
      </c>
      <c r="N349">
        <f>IF(S349&lt;_xlfn.XLOOKUP(N$1,Capacity!$D$3:$D$7,Capacity!$E$3:$E$7),_xlfn.XLOOKUP(N$1,Capacity!$D$3:$D$7,Capacity!$F$3:$F$7)-S349,0)</f>
        <v>0</v>
      </c>
      <c r="O349">
        <f>IF(T349&lt;_xlfn.XLOOKUP(O$1,Capacity!$D$3:$D$7,Capacity!$E$3:$E$7),_xlfn.XLOOKUP(O$1,Capacity!$D$3:$D$7,Capacity!$F$3:$F$7)-T349,0)</f>
        <v>0</v>
      </c>
      <c r="P349">
        <f>IF(U349&lt;_xlfn.XLOOKUP(P$1,Capacity!$D$3:$D$7,Capacity!$E$3:$E$7),_xlfn.XLOOKUP(P$1,Capacity!$D$3:$D$7,Capacity!$F$3:$F$7)-U349,0)</f>
        <v>0</v>
      </c>
      <c r="Q349">
        <f t="shared" si="31"/>
        <v>3025</v>
      </c>
      <c r="R349">
        <f t="shared" si="32"/>
        <v>1309</v>
      </c>
      <c r="S349">
        <f t="shared" si="33"/>
        <v>4755</v>
      </c>
      <c r="T349">
        <f t="shared" si="34"/>
        <v>7665</v>
      </c>
      <c r="U349">
        <f t="shared" si="35"/>
        <v>1912</v>
      </c>
    </row>
    <row r="350" spans="1:21">
      <c r="A350" s="5">
        <f t="shared" si="36"/>
        <v>46371</v>
      </c>
      <c r="B350">
        <f>SUMIFS('Demand Projection'!$D$2:$D$169,'Demand Projection'!$B$2:$B$169,B$1,'Demand Projection'!$C$2:$C$169,$A350)</f>
        <v>0</v>
      </c>
      <c r="C350">
        <f>SUMIFS('Demand Projection'!$D$2:$D$169,'Demand Projection'!$B$2:$B$169,C$1,'Demand Projection'!$C$2:$C$169,$A350)</f>
        <v>0</v>
      </c>
      <c r="D350">
        <f>SUMIFS('Demand Projection'!$D$2:$D$169,'Demand Projection'!$B$2:$B$169,D$1,'Demand Projection'!$C$2:$C$169,$A350)</f>
        <v>0</v>
      </c>
      <c r="E350">
        <f>SUMIFS('Demand Projection'!$D$2:$D$169,'Demand Projection'!$B$2:$B$169,E$1,'Demand Projection'!$C$2:$C$169,$A350)</f>
        <v>0</v>
      </c>
      <c r="F350">
        <f>SUMIFS('Demand Projection'!$D$2:$D$169,'Demand Projection'!$B$2:$B$169,F$1,'Demand Projection'!$C$2:$C$169,$A350)</f>
        <v>0</v>
      </c>
      <c r="G350" cm="1">
        <f t="array" ref="G350">Q349+IF(ROW()-3&lt;2,0,INDEX(L:L,ROW()-3))</f>
        <v>3025</v>
      </c>
      <c r="H350" cm="1">
        <f t="array" ref="H350">R349+IF(ROW()-3&lt;2,0,INDEX(M:M,ROW()-3))</f>
        <v>1309</v>
      </c>
      <c r="I350" cm="1">
        <f t="array" ref="I350">S349+IF(ROW()-3&lt;2,0,INDEX(N:N,ROW()-3))</f>
        <v>4755</v>
      </c>
      <c r="J350" cm="1">
        <f t="array" ref="J350">T349+IF(ROW()-3&lt;2,0,INDEX(O:O,ROW()-3))</f>
        <v>7665</v>
      </c>
      <c r="K350" cm="1">
        <f t="array" ref="K350">U349+IF(ROW()-3&lt;2,0,INDEX(P:P,ROW()-3))</f>
        <v>1912</v>
      </c>
      <c r="L350">
        <f>IF(Q350&lt;_xlfn.XLOOKUP(L$1,Capacity!$D$3:$D$7,Capacity!$E$3:$E$7),_xlfn.XLOOKUP(L$1,Capacity!$D$3:$D$7,Capacity!$F$3:$F$7)-Q350,0)</f>
        <v>0</v>
      </c>
      <c r="M350">
        <f>IF(R350&lt;_xlfn.XLOOKUP(M$1,Capacity!$D$3:$D$7,Capacity!$E$3:$E$7),_xlfn.XLOOKUP(M$1,Capacity!$D$3:$D$7,Capacity!$F$3:$F$7)-R350,0)</f>
        <v>0</v>
      </c>
      <c r="N350">
        <f>IF(S350&lt;_xlfn.XLOOKUP(N$1,Capacity!$D$3:$D$7,Capacity!$E$3:$E$7),_xlfn.XLOOKUP(N$1,Capacity!$D$3:$D$7,Capacity!$F$3:$F$7)-S350,0)</f>
        <v>0</v>
      </c>
      <c r="O350">
        <f>IF(T350&lt;_xlfn.XLOOKUP(O$1,Capacity!$D$3:$D$7,Capacity!$E$3:$E$7),_xlfn.XLOOKUP(O$1,Capacity!$D$3:$D$7,Capacity!$F$3:$F$7)-T350,0)</f>
        <v>0</v>
      </c>
      <c r="P350">
        <f>IF(U350&lt;_xlfn.XLOOKUP(P$1,Capacity!$D$3:$D$7,Capacity!$E$3:$E$7),_xlfn.XLOOKUP(P$1,Capacity!$D$3:$D$7,Capacity!$F$3:$F$7)-U350,0)</f>
        <v>0</v>
      </c>
      <c r="Q350">
        <f t="shared" si="31"/>
        <v>3025</v>
      </c>
      <c r="R350">
        <f t="shared" si="32"/>
        <v>1309</v>
      </c>
      <c r="S350">
        <f t="shared" si="33"/>
        <v>4755</v>
      </c>
      <c r="T350">
        <f t="shared" si="34"/>
        <v>7665</v>
      </c>
      <c r="U350">
        <f t="shared" si="35"/>
        <v>1912</v>
      </c>
    </row>
    <row r="351" spans="1:21">
      <c r="A351" s="5">
        <f t="shared" si="36"/>
        <v>46372</v>
      </c>
      <c r="B351">
        <f>SUMIFS('Demand Projection'!$D$2:$D$169,'Demand Projection'!$B$2:$B$169,B$1,'Demand Projection'!$C$2:$C$169,$A351)</f>
        <v>0</v>
      </c>
      <c r="C351">
        <f>SUMIFS('Demand Projection'!$D$2:$D$169,'Demand Projection'!$B$2:$B$169,C$1,'Demand Projection'!$C$2:$C$169,$A351)</f>
        <v>0</v>
      </c>
      <c r="D351">
        <f>SUMIFS('Demand Projection'!$D$2:$D$169,'Demand Projection'!$B$2:$B$169,D$1,'Demand Projection'!$C$2:$C$169,$A351)</f>
        <v>0</v>
      </c>
      <c r="E351">
        <f>SUMIFS('Demand Projection'!$D$2:$D$169,'Demand Projection'!$B$2:$B$169,E$1,'Demand Projection'!$C$2:$C$169,$A351)</f>
        <v>0</v>
      </c>
      <c r="F351">
        <f>SUMIFS('Demand Projection'!$D$2:$D$169,'Demand Projection'!$B$2:$B$169,F$1,'Demand Projection'!$C$2:$C$169,$A351)</f>
        <v>0</v>
      </c>
      <c r="G351" cm="1">
        <f t="array" ref="G351">Q350+IF(ROW()-3&lt;2,0,INDEX(L:L,ROW()-3))</f>
        <v>3025</v>
      </c>
      <c r="H351" cm="1">
        <f t="array" ref="H351">R350+IF(ROW()-3&lt;2,0,INDEX(M:M,ROW()-3))</f>
        <v>1309</v>
      </c>
      <c r="I351" cm="1">
        <f t="array" ref="I351">S350+IF(ROW()-3&lt;2,0,INDEX(N:N,ROW()-3))</f>
        <v>4755</v>
      </c>
      <c r="J351" cm="1">
        <f t="array" ref="J351">T350+IF(ROW()-3&lt;2,0,INDEX(O:O,ROW()-3))</f>
        <v>7665</v>
      </c>
      <c r="K351" cm="1">
        <f t="array" ref="K351">U350+IF(ROW()-3&lt;2,0,INDEX(P:P,ROW()-3))</f>
        <v>1912</v>
      </c>
      <c r="L351">
        <f>IF(Q351&lt;_xlfn.XLOOKUP(L$1,Capacity!$D$3:$D$7,Capacity!$E$3:$E$7),_xlfn.XLOOKUP(L$1,Capacity!$D$3:$D$7,Capacity!$F$3:$F$7)-Q351,0)</f>
        <v>0</v>
      </c>
      <c r="M351">
        <f>IF(R351&lt;_xlfn.XLOOKUP(M$1,Capacity!$D$3:$D$7,Capacity!$E$3:$E$7),_xlfn.XLOOKUP(M$1,Capacity!$D$3:$D$7,Capacity!$F$3:$F$7)-R351,0)</f>
        <v>0</v>
      </c>
      <c r="N351">
        <f>IF(S351&lt;_xlfn.XLOOKUP(N$1,Capacity!$D$3:$D$7,Capacity!$E$3:$E$7),_xlfn.XLOOKUP(N$1,Capacity!$D$3:$D$7,Capacity!$F$3:$F$7)-S351,0)</f>
        <v>0</v>
      </c>
      <c r="O351">
        <f>IF(T351&lt;_xlfn.XLOOKUP(O$1,Capacity!$D$3:$D$7,Capacity!$E$3:$E$7),_xlfn.XLOOKUP(O$1,Capacity!$D$3:$D$7,Capacity!$F$3:$F$7)-T351,0)</f>
        <v>0</v>
      </c>
      <c r="P351">
        <f>IF(U351&lt;_xlfn.XLOOKUP(P$1,Capacity!$D$3:$D$7,Capacity!$E$3:$E$7),_xlfn.XLOOKUP(P$1,Capacity!$D$3:$D$7,Capacity!$F$3:$F$7)-U351,0)</f>
        <v>0</v>
      </c>
      <c r="Q351">
        <f t="shared" si="31"/>
        <v>3025</v>
      </c>
      <c r="R351">
        <f t="shared" si="32"/>
        <v>1309</v>
      </c>
      <c r="S351">
        <f t="shared" si="33"/>
        <v>4755</v>
      </c>
      <c r="T351">
        <f t="shared" si="34"/>
        <v>7665</v>
      </c>
      <c r="U351">
        <f t="shared" si="35"/>
        <v>1912</v>
      </c>
    </row>
    <row r="352" spans="1:21">
      <c r="A352" s="5">
        <f t="shared" si="36"/>
        <v>46373</v>
      </c>
      <c r="B352">
        <f>SUMIFS('Demand Projection'!$D$2:$D$169,'Demand Projection'!$B$2:$B$169,B$1,'Demand Projection'!$C$2:$C$169,$A352)</f>
        <v>0</v>
      </c>
      <c r="C352">
        <f>SUMIFS('Demand Projection'!$D$2:$D$169,'Demand Projection'!$B$2:$B$169,C$1,'Demand Projection'!$C$2:$C$169,$A352)</f>
        <v>0</v>
      </c>
      <c r="D352">
        <f>SUMIFS('Demand Projection'!$D$2:$D$169,'Demand Projection'!$B$2:$B$169,D$1,'Demand Projection'!$C$2:$C$169,$A352)</f>
        <v>0</v>
      </c>
      <c r="E352">
        <f>SUMIFS('Demand Projection'!$D$2:$D$169,'Demand Projection'!$B$2:$B$169,E$1,'Demand Projection'!$C$2:$C$169,$A352)</f>
        <v>633</v>
      </c>
      <c r="F352">
        <f>SUMIFS('Demand Projection'!$D$2:$D$169,'Demand Projection'!$B$2:$B$169,F$1,'Demand Projection'!$C$2:$C$169,$A352)</f>
        <v>0</v>
      </c>
      <c r="G352" cm="1">
        <f t="array" ref="G352">Q351+IF(ROW()-3&lt;2,0,INDEX(L:L,ROW()-3))</f>
        <v>3025</v>
      </c>
      <c r="H352" cm="1">
        <f t="array" ref="H352">R351+IF(ROW()-3&lt;2,0,INDEX(M:M,ROW()-3))</f>
        <v>1309</v>
      </c>
      <c r="I352" cm="1">
        <f t="array" ref="I352">S351+IF(ROW()-3&lt;2,0,INDEX(N:N,ROW()-3))</f>
        <v>4755</v>
      </c>
      <c r="J352" cm="1">
        <f t="array" ref="J352">T351+IF(ROW()-3&lt;2,0,INDEX(O:O,ROW()-3))</f>
        <v>7665</v>
      </c>
      <c r="K352" cm="1">
        <f t="array" ref="K352">U351+IF(ROW()-3&lt;2,0,INDEX(P:P,ROW()-3))</f>
        <v>1912</v>
      </c>
      <c r="L352">
        <f>IF(Q352&lt;_xlfn.XLOOKUP(L$1,Capacity!$D$3:$D$7,Capacity!$E$3:$E$7),_xlfn.XLOOKUP(L$1,Capacity!$D$3:$D$7,Capacity!$F$3:$F$7)-Q352,0)</f>
        <v>0</v>
      </c>
      <c r="M352">
        <f>IF(R352&lt;_xlfn.XLOOKUP(M$1,Capacity!$D$3:$D$7,Capacity!$E$3:$E$7),_xlfn.XLOOKUP(M$1,Capacity!$D$3:$D$7,Capacity!$F$3:$F$7)-R352,0)</f>
        <v>0</v>
      </c>
      <c r="N352">
        <f>IF(S352&lt;_xlfn.XLOOKUP(N$1,Capacity!$D$3:$D$7,Capacity!$E$3:$E$7),_xlfn.XLOOKUP(N$1,Capacity!$D$3:$D$7,Capacity!$F$3:$F$7)-S352,0)</f>
        <v>0</v>
      </c>
      <c r="O352">
        <f>IF(T352&lt;_xlfn.XLOOKUP(O$1,Capacity!$D$3:$D$7,Capacity!$E$3:$E$7),_xlfn.XLOOKUP(O$1,Capacity!$D$3:$D$7,Capacity!$F$3:$F$7)-T352,0)</f>
        <v>0</v>
      </c>
      <c r="P352">
        <f>IF(U352&lt;_xlfn.XLOOKUP(P$1,Capacity!$D$3:$D$7,Capacity!$E$3:$E$7),_xlfn.XLOOKUP(P$1,Capacity!$D$3:$D$7,Capacity!$F$3:$F$7)-U352,0)</f>
        <v>0</v>
      </c>
      <c r="Q352">
        <f t="shared" si="31"/>
        <v>3025</v>
      </c>
      <c r="R352">
        <f t="shared" si="32"/>
        <v>1309</v>
      </c>
      <c r="S352">
        <f t="shared" si="33"/>
        <v>4755</v>
      </c>
      <c r="T352">
        <f t="shared" si="34"/>
        <v>7032</v>
      </c>
      <c r="U352">
        <f t="shared" si="35"/>
        <v>1912</v>
      </c>
    </row>
    <row r="353" spans="1:21">
      <c r="A353" s="5">
        <f t="shared" si="36"/>
        <v>46374</v>
      </c>
      <c r="B353">
        <f>SUMIFS('Demand Projection'!$D$2:$D$169,'Demand Projection'!$B$2:$B$169,B$1,'Demand Projection'!$C$2:$C$169,$A353)</f>
        <v>0</v>
      </c>
      <c r="C353">
        <f>SUMIFS('Demand Projection'!$D$2:$D$169,'Demand Projection'!$B$2:$B$169,C$1,'Demand Projection'!$C$2:$C$169,$A353)</f>
        <v>0</v>
      </c>
      <c r="D353">
        <f>SUMIFS('Demand Projection'!$D$2:$D$169,'Demand Projection'!$B$2:$B$169,D$1,'Demand Projection'!$C$2:$C$169,$A353)</f>
        <v>0</v>
      </c>
      <c r="E353">
        <f>SUMIFS('Demand Projection'!$D$2:$D$169,'Demand Projection'!$B$2:$B$169,E$1,'Demand Projection'!$C$2:$C$169,$A353)</f>
        <v>0</v>
      </c>
      <c r="F353">
        <f>SUMIFS('Demand Projection'!$D$2:$D$169,'Demand Projection'!$B$2:$B$169,F$1,'Demand Projection'!$C$2:$C$169,$A353)</f>
        <v>0</v>
      </c>
      <c r="G353" cm="1">
        <f t="array" ref="G353">Q352+IF(ROW()-3&lt;2,0,INDEX(L:L,ROW()-3))</f>
        <v>3025</v>
      </c>
      <c r="H353" cm="1">
        <f t="array" ref="H353">R352+IF(ROW()-3&lt;2,0,INDEX(M:M,ROW()-3))</f>
        <v>1309</v>
      </c>
      <c r="I353" cm="1">
        <f t="array" ref="I353">S352+IF(ROW()-3&lt;2,0,INDEX(N:N,ROW()-3))</f>
        <v>4755</v>
      </c>
      <c r="J353" cm="1">
        <f t="array" ref="J353">T352+IF(ROW()-3&lt;2,0,INDEX(O:O,ROW()-3))</f>
        <v>7032</v>
      </c>
      <c r="K353" cm="1">
        <f t="array" ref="K353">U352+IF(ROW()-3&lt;2,0,INDEX(P:P,ROW()-3))</f>
        <v>1912</v>
      </c>
      <c r="L353">
        <f>IF(Q353&lt;_xlfn.XLOOKUP(L$1,Capacity!$D$3:$D$7,Capacity!$E$3:$E$7),_xlfn.XLOOKUP(L$1,Capacity!$D$3:$D$7,Capacity!$F$3:$F$7)-Q353,0)</f>
        <v>0</v>
      </c>
      <c r="M353">
        <f>IF(R353&lt;_xlfn.XLOOKUP(M$1,Capacity!$D$3:$D$7,Capacity!$E$3:$E$7),_xlfn.XLOOKUP(M$1,Capacity!$D$3:$D$7,Capacity!$F$3:$F$7)-R353,0)</f>
        <v>0</v>
      </c>
      <c r="N353">
        <f>IF(S353&lt;_xlfn.XLOOKUP(N$1,Capacity!$D$3:$D$7,Capacity!$E$3:$E$7),_xlfn.XLOOKUP(N$1,Capacity!$D$3:$D$7,Capacity!$F$3:$F$7)-S353,0)</f>
        <v>0</v>
      </c>
      <c r="O353">
        <f>IF(T353&lt;_xlfn.XLOOKUP(O$1,Capacity!$D$3:$D$7,Capacity!$E$3:$E$7),_xlfn.XLOOKUP(O$1,Capacity!$D$3:$D$7,Capacity!$F$3:$F$7)-T353,0)</f>
        <v>0</v>
      </c>
      <c r="P353">
        <f>IF(U353&lt;_xlfn.XLOOKUP(P$1,Capacity!$D$3:$D$7,Capacity!$E$3:$E$7),_xlfn.XLOOKUP(P$1,Capacity!$D$3:$D$7,Capacity!$F$3:$F$7)-U353,0)</f>
        <v>0</v>
      </c>
      <c r="Q353">
        <f t="shared" si="31"/>
        <v>3025</v>
      </c>
      <c r="R353">
        <f t="shared" si="32"/>
        <v>1309</v>
      </c>
      <c r="S353">
        <f t="shared" si="33"/>
        <v>4755</v>
      </c>
      <c r="T353">
        <f t="shared" si="34"/>
        <v>7032</v>
      </c>
      <c r="U353">
        <f t="shared" si="35"/>
        <v>1912</v>
      </c>
    </row>
    <row r="354" spans="1:21">
      <c r="A354" s="5">
        <f t="shared" si="36"/>
        <v>46375</v>
      </c>
      <c r="B354">
        <f>SUMIFS('Demand Projection'!$D$2:$D$169,'Demand Projection'!$B$2:$B$169,B$1,'Demand Projection'!$C$2:$C$169,$A354)</f>
        <v>0</v>
      </c>
      <c r="C354">
        <f>SUMIFS('Demand Projection'!$D$2:$D$169,'Demand Projection'!$B$2:$B$169,C$1,'Demand Projection'!$C$2:$C$169,$A354)</f>
        <v>0</v>
      </c>
      <c r="D354">
        <f>SUMIFS('Demand Projection'!$D$2:$D$169,'Demand Projection'!$B$2:$B$169,D$1,'Demand Projection'!$C$2:$C$169,$A354)</f>
        <v>0</v>
      </c>
      <c r="E354">
        <f>SUMIFS('Demand Projection'!$D$2:$D$169,'Demand Projection'!$B$2:$B$169,E$1,'Demand Projection'!$C$2:$C$169,$A354)</f>
        <v>0</v>
      </c>
      <c r="F354">
        <f>SUMIFS('Demand Projection'!$D$2:$D$169,'Demand Projection'!$B$2:$B$169,F$1,'Demand Projection'!$C$2:$C$169,$A354)</f>
        <v>0</v>
      </c>
      <c r="G354" cm="1">
        <f t="array" ref="G354">Q353+IF(ROW()-3&lt;2,0,INDEX(L:L,ROW()-3))</f>
        <v>3025</v>
      </c>
      <c r="H354" cm="1">
        <f t="array" ref="H354">R353+IF(ROW()-3&lt;2,0,INDEX(M:M,ROW()-3))</f>
        <v>1309</v>
      </c>
      <c r="I354" cm="1">
        <f t="array" ref="I354">S353+IF(ROW()-3&lt;2,0,INDEX(N:N,ROW()-3))</f>
        <v>4755</v>
      </c>
      <c r="J354" cm="1">
        <f t="array" ref="J354">T353+IF(ROW()-3&lt;2,0,INDEX(O:O,ROW()-3))</f>
        <v>7032</v>
      </c>
      <c r="K354" cm="1">
        <f t="array" ref="K354">U353+IF(ROW()-3&lt;2,0,INDEX(P:P,ROW()-3))</f>
        <v>1912</v>
      </c>
      <c r="L354">
        <f>IF(Q354&lt;_xlfn.XLOOKUP(L$1,Capacity!$D$3:$D$7,Capacity!$E$3:$E$7),_xlfn.XLOOKUP(L$1,Capacity!$D$3:$D$7,Capacity!$F$3:$F$7)-Q354,0)</f>
        <v>0</v>
      </c>
      <c r="M354">
        <f>IF(R354&lt;_xlfn.XLOOKUP(M$1,Capacity!$D$3:$D$7,Capacity!$E$3:$E$7),_xlfn.XLOOKUP(M$1,Capacity!$D$3:$D$7,Capacity!$F$3:$F$7)-R354,0)</f>
        <v>0</v>
      </c>
      <c r="N354">
        <f>IF(S354&lt;_xlfn.XLOOKUP(N$1,Capacity!$D$3:$D$7,Capacity!$E$3:$E$7),_xlfn.XLOOKUP(N$1,Capacity!$D$3:$D$7,Capacity!$F$3:$F$7)-S354,0)</f>
        <v>0</v>
      </c>
      <c r="O354">
        <f>IF(T354&lt;_xlfn.XLOOKUP(O$1,Capacity!$D$3:$D$7,Capacity!$E$3:$E$7),_xlfn.XLOOKUP(O$1,Capacity!$D$3:$D$7,Capacity!$F$3:$F$7)-T354,0)</f>
        <v>0</v>
      </c>
      <c r="P354">
        <f>IF(U354&lt;_xlfn.XLOOKUP(P$1,Capacity!$D$3:$D$7,Capacity!$E$3:$E$7),_xlfn.XLOOKUP(P$1,Capacity!$D$3:$D$7,Capacity!$F$3:$F$7)-U354,0)</f>
        <v>0</v>
      </c>
      <c r="Q354">
        <f t="shared" si="31"/>
        <v>3025</v>
      </c>
      <c r="R354">
        <f t="shared" si="32"/>
        <v>1309</v>
      </c>
      <c r="S354">
        <f t="shared" si="33"/>
        <v>4755</v>
      </c>
      <c r="T354">
        <f t="shared" si="34"/>
        <v>7032</v>
      </c>
      <c r="U354">
        <f t="shared" si="35"/>
        <v>1912</v>
      </c>
    </row>
    <row r="355" spans="1:21">
      <c r="A355" s="5">
        <f t="shared" si="36"/>
        <v>46376</v>
      </c>
      <c r="B355">
        <f>SUMIFS('Demand Projection'!$D$2:$D$169,'Demand Projection'!$B$2:$B$169,B$1,'Demand Projection'!$C$2:$C$169,$A355)</f>
        <v>0</v>
      </c>
      <c r="C355">
        <f>SUMIFS('Demand Projection'!$D$2:$D$169,'Demand Projection'!$B$2:$B$169,C$1,'Demand Projection'!$C$2:$C$169,$A355)</f>
        <v>0</v>
      </c>
      <c r="D355">
        <f>SUMIFS('Demand Projection'!$D$2:$D$169,'Demand Projection'!$B$2:$B$169,D$1,'Demand Projection'!$C$2:$C$169,$A355)</f>
        <v>584</v>
      </c>
      <c r="E355">
        <f>SUMIFS('Demand Projection'!$D$2:$D$169,'Demand Projection'!$B$2:$B$169,E$1,'Demand Projection'!$C$2:$C$169,$A355)</f>
        <v>0</v>
      </c>
      <c r="F355">
        <f>SUMIFS('Demand Projection'!$D$2:$D$169,'Demand Projection'!$B$2:$B$169,F$1,'Demand Projection'!$C$2:$C$169,$A355)</f>
        <v>0</v>
      </c>
      <c r="G355" cm="1">
        <f t="array" ref="G355">Q354+IF(ROW()-3&lt;2,0,INDEX(L:L,ROW()-3))</f>
        <v>3025</v>
      </c>
      <c r="H355" cm="1">
        <f t="array" ref="H355">R354+IF(ROW()-3&lt;2,0,INDEX(M:M,ROW()-3))</f>
        <v>1309</v>
      </c>
      <c r="I355" cm="1">
        <f t="array" ref="I355">S354+IF(ROW()-3&lt;2,0,INDEX(N:N,ROW()-3))</f>
        <v>4755</v>
      </c>
      <c r="J355" cm="1">
        <f t="array" ref="J355">T354+IF(ROW()-3&lt;2,0,INDEX(O:O,ROW()-3))</f>
        <v>7032</v>
      </c>
      <c r="K355" cm="1">
        <f t="array" ref="K355">U354+IF(ROW()-3&lt;2,0,INDEX(P:P,ROW()-3))</f>
        <v>1912</v>
      </c>
      <c r="L355">
        <f>IF(Q355&lt;_xlfn.XLOOKUP(L$1,Capacity!$D$3:$D$7,Capacity!$E$3:$E$7),_xlfn.XLOOKUP(L$1,Capacity!$D$3:$D$7,Capacity!$F$3:$F$7)-Q355,0)</f>
        <v>0</v>
      </c>
      <c r="M355">
        <f>IF(R355&lt;_xlfn.XLOOKUP(M$1,Capacity!$D$3:$D$7,Capacity!$E$3:$E$7),_xlfn.XLOOKUP(M$1,Capacity!$D$3:$D$7,Capacity!$F$3:$F$7)-R355,0)</f>
        <v>0</v>
      </c>
      <c r="N355">
        <f>IF(S355&lt;_xlfn.XLOOKUP(N$1,Capacity!$D$3:$D$7,Capacity!$E$3:$E$7),_xlfn.XLOOKUP(N$1,Capacity!$D$3:$D$7,Capacity!$F$3:$F$7)-S355,0)</f>
        <v>0</v>
      </c>
      <c r="O355">
        <f>IF(T355&lt;_xlfn.XLOOKUP(O$1,Capacity!$D$3:$D$7,Capacity!$E$3:$E$7),_xlfn.XLOOKUP(O$1,Capacity!$D$3:$D$7,Capacity!$F$3:$F$7)-T355,0)</f>
        <v>0</v>
      </c>
      <c r="P355">
        <f>IF(U355&lt;_xlfn.XLOOKUP(P$1,Capacity!$D$3:$D$7,Capacity!$E$3:$E$7),_xlfn.XLOOKUP(P$1,Capacity!$D$3:$D$7,Capacity!$F$3:$F$7)-U355,0)</f>
        <v>0</v>
      </c>
      <c r="Q355">
        <f t="shared" si="31"/>
        <v>3025</v>
      </c>
      <c r="R355">
        <f t="shared" si="32"/>
        <v>1309</v>
      </c>
      <c r="S355">
        <f t="shared" si="33"/>
        <v>4171</v>
      </c>
      <c r="T355">
        <f t="shared" si="34"/>
        <v>7032</v>
      </c>
      <c r="U355">
        <f t="shared" si="35"/>
        <v>1912</v>
      </c>
    </row>
    <row r="356" spans="1:21">
      <c r="A356" s="5">
        <f t="shared" si="36"/>
        <v>46377</v>
      </c>
      <c r="B356">
        <f>SUMIFS('Demand Projection'!$D$2:$D$169,'Demand Projection'!$B$2:$B$169,B$1,'Demand Projection'!$C$2:$C$169,$A356)</f>
        <v>0</v>
      </c>
      <c r="C356">
        <f>SUMIFS('Demand Projection'!$D$2:$D$169,'Demand Projection'!$B$2:$B$169,C$1,'Demand Projection'!$C$2:$C$169,$A356)</f>
        <v>0</v>
      </c>
      <c r="D356">
        <f>SUMIFS('Demand Projection'!$D$2:$D$169,'Demand Projection'!$B$2:$B$169,D$1,'Demand Projection'!$C$2:$C$169,$A356)</f>
        <v>0</v>
      </c>
      <c r="E356">
        <f>SUMIFS('Demand Projection'!$D$2:$D$169,'Demand Projection'!$B$2:$B$169,E$1,'Demand Projection'!$C$2:$C$169,$A356)</f>
        <v>0</v>
      </c>
      <c r="F356">
        <f>SUMIFS('Demand Projection'!$D$2:$D$169,'Demand Projection'!$B$2:$B$169,F$1,'Demand Projection'!$C$2:$C$169,$A356)</f>
        <v>0</v>
      </c>
      <c r="G356" cm="1">
        <f t="array" ref="G356">Q355+IF(ROW()-3&lt;2,0,INDEX(L:L,ROW()-3))</f>
        <v>3025</v>
      </c>
      <c r="H356" cm="1">
        <f t="array" ref="H356">R355+IF(ROW()-3&lt;2,0,INDEX(M:M,ROW()-3))</f>
        <v>1309</v>
      </c>
      <c r="I356" cm="1">
        <f t="array" ref="I356">S355+IF(ROW()-3&lt;2,0,INDEX(N:N,ROW()-3))</f>
        <v>4171</v>
      </c>
      <c r="J356" cm="1">
        <f t="array" ref="J356">T355+IF(ROW()-3&lt;2,0,INDEX(O:O,ROW()-3))</f>
        <v>7032</v>
      </c>
      <c r="K356" cm="1">
        <f t="array" ref="K356">U355+IF(ROW()-3&lt;2,0,INDEX(P:P,ROW()-3))</f>
        <v>1912</v>
      </c>
      <c r="L356">
        <f>IF(Q356&lt;_xlfn.XLOOKUP(L$1,Capacity!$D$3:$D$7,Capacity!$E$3:$E$7),_xlfn.XLOOKUP(L$1,Capacity!$D$3:$D$7,Capacity!$F$3:$F$7)-Q356,0)</f>
        <v>0</v>
      </c>
      <c r="M356">
        <f>IF(R356&lt;_xlfn.XLOOKUP(M$1,Capacity!$D$3:$D$7,Capacity!$E$3:$E$7),_xlfn.XLOOKUP(M$1,Capacity!$D$3:$D$7,Capacity!$F$3:$F$7)-R356,0)</f>
        <v>0</v>
      </c>
      <c r="N356">
        <f>IF(S356&lt;_xlfn.XLOOKUP(N$1,Capacity!$D$3:$D$7,Capacity!$E$3:$E$7),_xlfn.XLOOKUP(N$1,Capacity!$D$3:$D$7,Capacity!$F$3:$F$7)-S356,0)</f>
        <v>0</v>
      </c>
      <c r="O356">
        <f>IF(T356&lt;_xlfn.XLOOKUP(O$1,Capacity!$D$3:$D$7,Capacity!$E$3:$E$7),_xlfn.XLOOKUP(O$1,Capacity!$D$3:$D$7,Capacity!$F$3:$F$7)-T356,0)</f>
        <v>0</v>
      </c>
      <c r="P356">
        <f>IF(U356&lt;_xlfn.XLOOKUP(P$1,Capacity!$D$3:$D$7,Capacity!$E$3:$E$7),_xlfn.XLOOKUP(P$1,Capacity!$D$3:$D$7,Capacity!$F$3:$F$7)-U356,0)</f>
        <v>0</v>
      </c>
      <c r="Q356">
        <f t="shared" si="31"/>
        <v>3025</v>
      </c>
      <c r="R356">
        <f t="shared" si="32"/>
        <v>1309</v>
      </c>
      <c r="S356">
        <f t="shared" si="33"/>
        <v>4171</v>
      </c>
      <c r="T356">
        <f t="shared" si="34"/>
        <v>7032</v>
      </c>
      <c r="U356">
        <f t="shared" si="35"/>
        <v>1912</v>
      </c>
    </row>
    <row r="357" spans="1:21">
      <c r="A357" s="5">
        <f t="shared" si="36"/>
        <v>46378</v>
      </c>
      <c r="B357">
        <f>SUMIFS('Demand Projection'!$D$2:$D$169,'Demand Projection'!$B$2:$B$169,B$1,'Demand Projection'!$C$2:$C$169,$A357)</f>
        <v>0</v>
      </c>
      <c r="C357">
        <f>SUMIFS('Demand Projection'!$D$2:$D$169,'Demand Projection'!$B$2:$B$169,C$1,'Demand Projection'!$C$2:$C$169,$A357)</f>
        <v>0</v>
      </c>
      <c r="D357">
        <f>SUMIFS('Demand Projection'!$D$2:$D$169,'Demand Projection'!$B$2:$B$169,D$1,'Demand Projection'!$C$2:$C$169,$A357)</f>
        <v>0</v>
      </c>
      <c r="E357">
        <f>SUMIFS('Demand Projection'!$D$2:$D$169,'Demand Projection'!$B$2:$B$169,E$1,'Demand Projection'!$C$2:$C$169,$A357)</f>
        <v>0</v>
      </c>
      <c r="F357">
        <f>SUMIFS('Demand Projection'!$D$2:$D$169,'Demand Projection'!$B$2:$B$169,F$1,'Demand Projection'!$C$2:$C$169,$A357)</f>
        <v>0</v>
      </c>
      <c r="G357" cm="1">
        <f t="array" ref="G357">Q356+IF(ROW()-3&lt;2,0,INDEX(L:L,ROW()-3))</f>
        <v>3025</v>
      </c>
      <c r="H357" cm="1">
        <f t="array" ref="H357">R356+IF(ROW()-3&lt;2,0,INDEX(M:M,ROW()-3))</f>
        <v>1309</v>
      </c>
      <c r="I357" cm="1">
        <f t="array" ref="I357">S356+IF(ROW()-3&lt;2,0,INDEX(N:N,ROW()-3))</f>
        <v>4171</v>
      </c>
      <c r="J357" cm="1">
        <f t="array" ref="J357">T356+IF(ROW()-3&lt;2,0,INDEX(O:O,ROW()-3))</f>
        <v>7032</v>
      </c>
      <c r="K357" cm="1">
        <f t="array" ref="K357">U356+IF(ROW()-3&lt;2,0,INDEX(P:P,ROW()-3))</f>
        <v>1912</v>
      </c>
      <c r="L357">
        <f>IF(Q357&lt;_xlfn.XLOOKUP(L$1,Capacity!$D$3:$D$7,Capacity!$E$3:$E$7),_xlfn.XLOOKUP(L$1,Capacity!$D$3:$D$7,Capacity!$F$3:$F$7)-Q357,0)</f>
        <v>0</v>
      </c>
      <c r="M357">
        <f>IF(R357&lt;_xlfn.XLOOKUP(M$1,Capacity!$D$3:$D$7,Capacity!$E$3:$E$7),_xlfn.XLOOKUP(M$1,Capacity!$D$3:$D$7,Capacity!$F$3:$F$7)-R357,0)</f>
        <v>0</v>
      </c>
      <c r="N357">
        <f>IF(S357&lt;_xlfn.XLOOKUP(N$1,Capacity!$D$3:$D$7,Capacity!$E$3:$E$7),_xlfn.XLOOKUP(N$1,Capacity!$D$3:$D$7,Capacity!$F$3:$F$7)-S357,0)</f>
        <v>0</v>
      </c>
      <c r="O357">
        <f>IF(T357&lt;_xlfn.XLOOKUP(O$1,Capacity!$D$3:$D$7,Capacity!$E$3:$E$7),_xlfn.XLOOKUP(O$1,Capacity!$D$3:$D$7,Capacity!$F$3:$F$7)-T357,0)</f>
        <v>0</v>
      </c>
      <c r="P357">
        <f>IF(U357&lt;_xlfn.XLOOKUP(P$1,Capacity!$D$3:$D$7,Capacity!$E$3:$E$7),_xlfn.XLOOKUP(P$1,Capacity!$D$3:$D$7,Capacity!$F$3:$F$7)-U357,0)</f>
        <v>0</v>
      </c>
      <c r="Q357">
        <f t="shared" si="31"/>
        <v>3025</v>
      </c>
      <c r="R357">
        <f t="shared" si="32"/>
        <v>1309</v>
      </c>
      <c r="S357">
        <f t="shared" si="33"/>
        <v>4171</v>
      </c>
      <c r="T357">
        <f t="shared" si="34"/>
        <v>7032</v>
      </c>
      <c r="U357">
        <f t="shared" si="35"/>
        <v>1912</v>
      </c>
    </row>
    <row r="358" spans="1:21">
      <c r="A358" s="5">
        <f t="shared" si="36"/>
        <v>46379</v>
      </c>
      <c r="B358">
        <f>SUMIFS('Demand Projection'!$D$2:$D$169,'Demand Projection'!$B$2:$B$169,B$1,'Demand Projection'!$C$2:$C$169,$A358)</f>
        <v>0</v>
      </c>
      <c r="C358">
        <f>SUMIFS('Demand Projection'!$D$2:$D$169,'Demand Projection'!$B$2:$B$169,C$1,'Demand Projection'!$C$2:$C$169,$A358)</f>
        <v>0</v>
      </c>
      <c r="D358">
        <f>SUMIFS('Demand Projection'!$D$2:$D$169,'Demand Projection'!$B$2:$B$169,D$1,'Demand Projection'!$C$2:$C$169,$A358)</f>
        <v>0</v>
      </c>
      <c r="E358">
        <f>SUMIFS('Demand Projection'!$D$2:$D$169,'Demand Projection'!$B$2:$B$169,E$1,'Demand Projection'!$C$2:$C$169,$A358)</f>
        <v>0</v>
      </c>
      <c r="F358">
        <f>SUMIFS('Demand Projection'!$D$2:$D$169,'Demand Projection'!$B$2:$B$169,F$1,'Demand Projection'!$C$2:$C$169,$A358)</f>
        <v>0</v>
      </c>
      <c r="G358" cm="1">
        <f t="array" ref="G358">Q357+IF(ROW()-3&lt;2,0,INDEX(L:L,ROW()-3))</f>
        <v>3025</v>
      </c>
      <c r="H358" cm="1">
        <f t="array" ref="H358">R357+IF(ROW()-3&lt;2,0,INDEX(M:M,ROW()-3))</f>
        <v>1309</v>
      </c>
      <c r="I358" cm="1">
        <f t="array" ref="I358">S357+IF(ROW()-3&lt;2,0,INDEX(N:N,ROW()-3))</f>
        <v>4171</v>
      </c>
      <c r="J358" cm="1">
        <f t="array" ref="J358">T357+IF(ROW()-3&lt;2,0,INDEX(O:O,ROW()-3))</f>
        <v>7032</v>
      </c>
      <c r="K358" cm="1">
        <f t="array" ref="K358">U357+IF(ROW()-3&lt;2,0,INDEX(P:P,ROW()-3))</f>
        <v>1912</v>
      </c>
      <c r="L358">
        <f>IF(Q358&lt;_xlfn.XLOOKUP(L$1,Capacity!$D$3:$D$7,Capacity!$E$3:$E$7),_xlfn.XLOOKUP(L$1,Capacity!$D$3:$D$7,Capacity!$F$3:$F$7)-Q358,0)</f>
        <v>0</v>
      </c>
      <c r="M358">
        <f>IF(R358&lt;_xlfn.XLOOKUP(M$1,Capacity!$D$3:$D$7,Capacity!$E$3:$E$7),_xlfn.XLOOKUP(M$1,Capacity!$D$3:$D$7,Capacity!$F$3:$F$7)-R358,0)</f>
        <v>0</v>
      </c>
      <c r="N358">
        <f>IF(S358&lt;_xlfn.XLOOKUP(N$1,Capacity!$D$3:$D$7,Capacity!$E$3:$E$7),_xlfn.XLOOKUP(N$1,Capacity!$D$3:$D$7,Capacity!$F$3:$F$7)-S358,0)</f>
        <v>0</v>
      </c>
      <c r="O358">
        <f>IF(T358&lt;_xlfn.XLOOKUP(O$1,Capacity!$D$3:$D$7,Capacity!$E$3:$E$7),_xlfn.XLOOKUP(O$1,Capacity!$D$3:$D$7,Capacity!$F$3:$F$7)-T358,0)</f>
        <v>0</v>
      </c>
      <c r="P358">
        <f>IF(U358&lt;_xlfn.XLOOKUP(P$1,Capacity!$D$3:$D$7,Capacity!$E$3:$E$7),_xlfn.XLOOKUP(P$1,Capacity!$D$3:$D$7,Capacity!$F$3:$F$7)-U358,0)</f>
        <v>0</v>
      </c>
      <c r="Q358">
        <f t="shared" si="31"/>
        <v>3025</v>
      </c>
      <c r="R358">
        <f t="shared" si="32"/>
        <v>1309</v>
      </c>
      <c r="S358">
        <f t="shared" si="33"/>
        <v>4171</v>
      </c>
      <c r="T358">
        <f t="shared" si="34"/>
        <v>7032</v>
      </c>
      <c r="U358">
        <f t="shared" si="35"/>
        <v>1912</v>
      </c>
    </row>
    <row r="359" spans="1:21">
      <c r="A359" s="5">
        <f t="shared" si="36"/>
        <v>46380</v>
      </c>
      <c r="B359">
        <f>SUMIFS('Demand Projection'!$D$2:$D$169,'Demand Projection'!$B$2:$B$169,B$1,'Demand Projection'!$C$2:$C$169,$A359)</f>
        <v>806</v>
      </c>
      <c r="C359">
        <f>SUMIFS('Demand Projection'!$D$2:$D$169,'Demand Projection'!$B$2:$B$169,C$1,'Demand Projection'!$C$2:$C$169,$A359)</f>
        <v>0</v>
      </c>
      <c r="D359">
        <f>SUMIFS('Demand Projection'!$D$2:$D$169,'Demand Projection'!$B$2:$B$169,D$1,'Demand Projection'!$C$2:$C$169,$A359)</f>
        <v>0</v>
      </c>
      <c r="E359">
        <f>SUMIFS('Demand Projection'!$D$2:$D$169,'Demand Projection'!$B$2:$B$169,E$1,'Demand Projection'!$C$2:$C$169,$A359)</f>
        <v>0</v>
      </c>
      <c r="F359">
        <f>SUMIFS('Demand Projection'!$D$2:$D$169,'Demand Projection'!$B$2:$B$169,F$1,'Demand Projection'!$C$2:$C$169,$A359)</f>
        <v>0</v>
      </c>
      <c r="G359" cm="1">
        <f t="array" ref="G359">Q358+IF(ROW()-3&lt;2,0,INDEX(L:L,ROW()-3))</f>
        <v>3025</v>
      </c>
      <c r="H359" cm="1">
        <f t="array" ref="H359">R358+IF(ROW()-3&lt;2,0,INDEX(M:M,ROW()-3))</f>
        <v>1309</v>
      </c>
      <c r="I359" cm="1">
        <f t="array" ref="I359">S358+IF(ROW()-3&lt;2,0,INDEX(N:N,ROW()-3))</f>
        <v>4171</v>
      </c>
      <c r="J359" cm="1">
        <f t="array" ref="J359">T358+IF(ROW()-3&lt;2,0,INDEX(O:O,ROW()-3))</f>
        <v>7032</v>
      </c>
      <c r="K359" cm="1">
        <f t="array" ref="K359">U358+IF(ROW()-3&lt;2,0,INDEX(P:P,ROW()-3))</f>
        <v>1912</v>
      </c>
      <c r="L359">
        <f>IF(Q359&lt;_xlfn.XLOOKUP(L$1,Capacity!$D$3:$D$7,Capacity!$E$3:$E$7),_xlfn.XLOOKUP(L$1,Capacity!$D$3:$D$7,Capacity!$F$3:$F$7)-Q359,0)</f>
        <v>0</v>
      </c>
      <c r="M359">
        <f>IF(R359&lt;_xlfn.XLOOKUP(M$1,Capacity!$D$3:$D$7,Capacity!$E$3:$E$7),_xlfn.XLOOKUP(M$1,Capacity!$D$3:$D$7,Capacity!$F$3:$F$7)-R359,0)</f>
        <v>0</v>
      </c>
      <c r="N359">
        <f>IF(S359&lt;_xlfn.XLOOKUP(N$1,Capacity!$D$3:$D$7,Capacity!$E$3:$E$7),_xlfn.XLOOKUP(N$1,Capacity!$D$3:$D$7,Capacity!$F$3:$F$7)-S359,0)</f>
        <v>0</v>
      </c>
      <c r="O359">
        <f>IF(T359&lt;_xlfn.XLOOKUP(O$1,Capacity!$D$3:$D$7,Capacity!$E$3:$E$7),_xlfn.XLOOKUP(O$1,Capacity!$D$3:$D$7,Capacity!$F$3:$F$7)-T359,0)</f>
        <v>0</v>
      </c>
      <c r="P359">
        <f>IF(U359&lt;_xlfn.XLOOKUP(P$1,Capacity!$D$3:$D$7,Capacity!$E$3:$E$7),_xlfn.XLOOKUP(P$1,Capacity!$D$3:$D$7,Capacity!$F$3:$F$7)-U359,0)</f>
        <v>0</v>
      </c>
      <c r="Q359">
        <f t="shared" si="31"/>
        <v>2219</v>
      </c>
      <c r="R359">
        <f t="shared" si="32"/>
        <v>1309</v>
      </c>
      <c r="S359">
        <f t="shared" si="33"/>
        <v>4171</v>
      </c>
      <c r="T359">
        <f t="shared" si="34"/>
        <v>7032</v>
      </c>
      <c r="U359">
        <f t="shared" si="35"/>
        <v>1912</v>
      </c>
    </row>
    <row r="360" spans="1:21">
      <c r="A360" s="5">
        <f t="shared" si="36"/>
        <v>46381</v>
      </c>
      <c r="B360">
        <f>SUMIFS('Demand Projection'!$D$2:$D$169,'Demand Projection'!$B$2:$B$169,B$1,'Demand Projection'!$C$2:$C$169,$A360)</f>
        <v>0</v>
      </c>
      <c r="C360">
        <f>SUMIFS('Demand Projection'!$D$2:$D$169,'Demand Projection'!$B$2:$B$169,C$1,'Demand Projection'!$C$2:$C$169,$A360)</f>
        <v>0</v>
      </c>
      <c r="D360">
        <f>SUMIFS('Demand Projection'!$D$2:$D$169,'Demand Projection'!$B$2:$B$169,D$1,'Demand Projection'!$C$2:$C$169,$A360)</f>
        <v>0</v>
      </c>
      <c r="E360">
        <f>SUMIFS('Demand Projection'!$D$2:$D$169,'Demand Projection'!$B$2:$B$169,E$1,'Demand Projection'!$C$2:$C$169,$A360)</f>
        <v>0</v>
      </c>
      <c r="F360">
        <f>SUMIFS('Demand Projection'!$D$2:$D$169,'Demand Projection'!$B$2:$B$169,F$1,'Demand Projection'!$C$2:$C$169,$A360)</f>
        <v>0</v>
      </c>
      <c r="G360" cm="1">
        <f t="array" ref="G360">Q359+IF(ROW()-3&lt;2,0,INDEX(L:L,ROW()-3))</f>
        <v>2219</v>
      </c>
      <c r="H360" cm="1">
        <f t="array" ref="H360">R359+IF(ROW()-3&lt;2,0,INDEX(M:M,ROW()-3))</f>
        <v>1309</v>
      </c>
      <c r="I360" cm="1">
        <f t="array" ref="I360">S359+IF(ROW()-3&lt;2,0,INDEX(N:N,ROW()-3))</f>
        <v>4171</v>
      </c>
      <c r="J360" cm="1">
        <f t="array" ref="J360">T359+IF(ROW()-3&lt;2,0,INDEX(O:O,ROW()-3))</f>
        <v>7032</v>
      </c>
      <c r="K360" cm="1">
        <f t="array" ref="K360">U359+IF(ROW()-3&lt;2,0,INDEX(P:P,ROW()-3))</f>
        <v>1912</v>
      </c>
      <c r="L360">
        <f>IF(Q360&lt;_xlfn.XLOOKUP(L$1,Capacity!$D$3:$D$7,Capacity!$E$3:$E$7),_xlfn.XLOOKUP(L$1,Capacity!$D$3:$D$7,Capacity!$F$3:$F$7)-Q360,0)</f>
        <v>0</v>
      </c>
      <c r="M360">
        <f>IF(R360&lt;_xlfn.XLOOKUP(M$1,Capacity!$D$3:$D$7,Capacity!$E$3:$E$7),_xlfn.XLOOKUP(M$1,Capacity!$D$3:$D$7,Capacity!$F$3:$F$7)-R360,0)</f>
        <v>0</v>
      </c>
      <c r="N360">
        <f>IF(S360&lt;_xlfn.XLOOKUP(N$1,Capacity!$D$3:$D$7,Capacity!$E$3:$E$7),_xlfn.XLOOKUP(N$1,Capacity!$D$3:$D$7,Capacity!$F$3:$F$7)-S360,0)</f>
        <v>0</v>
      </c>
      <c r="O360">
        <f>IF(T360&lt;_xlfn.XLOOKUP(O$1,Capacity!$D$3:$D$7,Capacity!$E$3:$E$7),_xlfn.XLOOKUP(O$1,Capacity!$D$3:$D$7,Capacity!$F$3:$F$7)-T360,0)</f>
        <v>0</v>
      </c>
      <c r="P360">
        <f>IF(U360&lt;_xlfn.XLOOKUP(P$1,Capacity!$D$3:$D$7,Capacity!$E$3:$E$7),_xlfn.XLOOKUP(P$1,Capacity!$D$3:$D$7,Capacity!$F$3:$F$7)-U360,0)</f>
        <v>0</v>
      </c>
      <c r="Q360">
        <f t="shared" si="31"/>
        <v>2219</v>
      </c>
      <c r="R360">
        <f t="shared" si="32"/>
        <v>1309</v>
      </c>
      <c r="S360">
        <f t="shared" si="33"/>
        <v>4171</v>
      </c>
      <c r="T360">
        <f t="shared" si="34"/>
        <v>7032</v>
      </c>
      <c r="U360">
        <f t="shared" si="35"/>
        <v>1912</v>
      </c>
    </row>
    <row r="361" spans="1:21">
      <c r="A361" s="5">
        <f t="shared" si="36"/>
        <v>46382</v>
      </c>
      <c r="B361">
        <f>SUMIFS('Demand Projection'!$D$2:$D$169,'Demand Projection'!$B$2:$B$169,B$1,'Demand Projection'!$C$2:$C$169,$A361)</f>
        <v>0</v>
      </c>
      <c r="C361">
        <f>SUMIFS('Demand Projection'!$D$2:$D$169,'Demand Projection'!$B$2:$B$169,C$1,'Demand Projection'!$C$2:$C$169,$A361)</f>
        <v>0</v>
      </c>
      <c r="D361">
        <f>SUMIFS('Demand Projection'!$D$2:$D$169,'Demand Projection'!$B$2:$B$169,D$1,'Demand Projection'!$C$2:$C$169,$A361)</f>
        <v>0</v>
      </c>
      <c r="E361">
        <f>SUMIFS('Demand Projection'!$D$2:$D$169,'Demand Projection'!$B$2:$B$169,E$1,'Demand Projection'!$C$2:$C$169,$A361)</f>
        <v>0</v>
      </c>
      <c r="F361">
        <f>SUMIFS('Demand Projection'!$D$2:$D$169,'Demand Projection'!$B$2:$B$169,F$1,'Demand Projection'!$C$2:$C$169,$A361)</f>
        <v>0</v>
      </c>
      <c r="G361" cm="1">
        <f t="array" ref="G361">Q360+IF(ROW()-3&lt;2,0,INDEX(L:L,ROW()-3))</f>
        <v>2219</v>
      </c>
      <c r="H361" cm="1">
        <f t="array" ref="H361">R360+IF(ROW()-3&lt;2,0,INDEX(M:M,ROW()-3))</f>
        <v>1309</v>
      </c>
      <c r="I361" cm="1">
        <f t="array" ref="I361">S360+IF(ROW()-3&lt;2,0,INDEX(N:N,ROW()-3))</f>
        <v>4171</v>
      </c>
      <c r="J361" cm="1">
        <f t="array" ref="J361">T360+IF(ROW()-3&lt;2,0,INDEX(O:O,ROW()-3))</f>
        <v>7032</v>
      </c>
      <c r="K361" cm="1">
        <f t="array" ref="K361">U360+IF(ROW()-3&lt;2,0,INDEX(P:P,ROW()-3))</f>
        <v>1912</v>
      </c>
      <c r="L361">
        <f>IF(Q361&lt;_xlfn.XLOOKUP(L$1,Capacity!$D$3:$D$7,Capacity!$E$3:$E$7),_xlfn.XLOOKUP(L$1,Capacity!$D$3:$D$7,Capacity!$F$3:$F$7)-Q361,0)</f>
        <v>0</v>
      </c>
      <c r="M361">
        <f>IF(R361&lt;_xlfn.XLOOKUP(M$1,Capacity!$D$3:$D$7,Capacity!$E$3:$E$7),_xlfn.XLOOKUP(M$1,Capacity!$D$3:$D$7,Capacity!$F$3:$F$7)-R361,0)</f>
        <v>0</v>
      </c>
      <c r="N361">
        <f>IF(S361&lt;_xlfn.XLOOKUP(N$1,Capacity!$D$3:$D$7,Capacity!$E$3:$E$7),_xlfn.XLOOKUP(N$1,Capacity!$D$3:$D$7,Capacity!$F$3:$F$7)-S361,0)</f>
        <v>0</v>
      </c>
      <c r="O361">
        <f>IF(T361&lt;_xlfn.XLOOKUP(O$1,Capacity!$D$3:$D$7,Capacity!$E$3:$E$7),_xlfn.XLOOKUP(O$1,Capacity!$D$3:$D$7,Capacity!$F$3:$F$7)-T361,0)</f>
        <v>0</v>
      </c>
      <c r="P361">
        <f>IF(U361&lt;_xlfn.XLOOKUP(P$1,Capacity!$D$3:$D$7,Capacity!$E$3:$E$7),_xlfn.XLOOKUP(P$1,Capacity!$D$3:$D$7,Capacity!$F$3:$F$7)-U361,0)</f>
        <v>0</v>
      </c>
      <c r="Q361">
        <f t="shared" si="31"/>
        <v>2219</v>
      </c>
      <c r="R361">
        <f t="shared" si="32"/>
        <v>1309</v>
      </c>
      <c r="S361">
        <f t="shared" si="33"/>
        <v>4171</v>
      </c>
      <c r="T361">
        <f t="shared" si="34"/>
        <v>7032</v>
      </c>
      <c r="U361">
        <f t="shared" si="35"/>
        <v>1912</v>
      </c>
    </row>
    <row r="362" spans="1:21">
      <c r="A362" s="5">
        <f t="shared" si="36"/>
        <v>46383</v>
      </c>
      <c r="B362">
        <f>SUMIFS('Demand Projection'!$D$2:$D$169,'Demand Projection'!$B$2:$B$169,B$1,'Demand Projection'!$C$2:$C$169,$A362)</f>
        <v>0</v>
      </c>
      <c r="C362">
        <f>SUMIFS('Demand Projection'!$D$2:$D$169,'Demand Projection'!$B$2:$B$169,C$1,'Demand Projection'!$C$2:$C$169,$A362)</f>
        <v>0</v>
      </c>
      <c r="D362">
        <f>SUMIFS('Demand Projection'!$D$2:$D$169,'Demand Projection'!$B$2:$B$169,D$1,'Demand Projection'!$C$2:$C$169,$A362)</f>
        <v>0</v>
      </c>
      <c r="E362">
        <f>SUMIFS('Demand Projection'!$D$2:$D$169,'Demand Projection'!$B$2:$B$169,E$1,'Demand Projection'!$C$2:$C$169,$A362)</f>
        <v>0</v>
      </c>
      <c r="F362">
        <f>SUMIFS('Demand Projection'!$D$2:$D$169,'Demand Projection'!$B$2:$B$169,F$1,'Demand Projection'!$C$2:$C$169,$A362)</f>
        <v>0</v>
      </c>
      <c r="G362" cm="1">
        <f t="array" ref="G362">Q361+IF(ROW()-3&lt;2,0,INDEX(L:L,ROW()-3))</f>
        <v>2219</v>
      </c>
      <c r="H362" cm="1">
        <f t="array" ref="H362">R361+IF(ROW()-3&lt;2,0,INDEX(M:M,ROW()-3))</f>
        <v>1309</v>
      </c>
      <c r="I362" cm="1">
        <f t="array" ref="I362">S361+IF(ROW()-3&lt;2,0,INDEX(N:N,ROW()-3))</f>
        <v>4171</v>
      </c>
      <c r="J362" cm="1">
        <f t="array" ref="J362">T361+IF(ROW()-3&lt;2,0,INDEX(O:O,ROW()-3))</f>
        <v>7032</v>
      </c>
      <c r="K362" cm="1">
        <f t="array" ref="K362">U361+IF(ROW()-3&lt;2,0,INDEX(P:P,ROW()-3))</f>
        <v>1912</v>
      </c>
      <c r="L362">
        <f>IF(Q362&lt;_xlfn.XLOOKUP(L$1,Capacity!$D$3:$D$7,Capacity!$E$3:$E$7),_xlfn.XLOOKUP(L$1,Capacity!$D$3:$D$7,Capacity!$F$3:$F$7)-Q362,0)</f>
        <v>0</v>
      </c>
      <c r="M362">
        <f>IF(R362&lt;_xlfn.XLOOKUP(M$1,Capacity!$D$3:$D$7,Capacity!$E$3:$E$7),_xlfn.XLOOKUP(M$1,Capacity!$D$3:$D$7,Capacity!$F$3:$F$7)-R362,0)</f>
        <v>0</v>
      </c>
      <c r="N362">
        <f>IF(S362&lt;_xlfn.XLOOKUP(N$1,Capacity!$D$3:$D$7,Capacity!$E$3:$E$7),_xlfn.XLOOKUP(N$1,Capacity!$D$3:$D$7,Capacity!$F$3:$F$7)-S362,0)</f>
        <v>0</v>
      </c>
      <c r="O362">
        <f>IF(T362&lt;_xlfn.XLOOKUP(O$1,Capacity!$D$3:$D$7,Capacity!$E$3:$E$7),_xlfn.XLOOKUP(O$1,Capacity!$D$3:$D$7,Capacity!$F$3:$F$7)-T362,0)</f>
        <v>0</v>
      </c>
      <c r="P362">
        <f>IF(U362&lt;_xlfn.XLOOKUP(P$1,Capacity!$D$3:$D$7,Capacity!$E$3:$E$7),_xlfn.XLOOKUP(P$1,Capacity!$D$3:$D$7,Capacity!$F$3:$F$7)-U362,0)</f>
        <v>0</v>
      </c>
      <c r="Q362">
        <f t="shared" si="31"/>
        <v>2219</v>
      </c>
      <c r="R362">
        <f t="shared" si="32"/>
        <v>1309</v>
      </c>
      <c r="S362">
        <f t="shared" si="33"/>
        <v>4171</v>
      </c>
      <c r="T362">
        <f t="shared" si="34"/>
        <v>7032</v>
      </c>
      <c r="U362">
        <f t="shared" si="35"/>
        <v>1912</v>
      </c>
    </row>
    <row r="363" spans="1:21">
      <c r="A363" s="5">
        <f t="shared" si="36"/>
        <v>46384</v>
      </c>
      <c r="B363">
        <f>SUMIFS('Demand Projection'!$D$2:$D$169,'Demand Projection'!$B$2:$B$169,B$1,'Demand Projection'!$C$2:$C$169,$A363)</f>
        <v>0</v>
      </c>
      <c r="C363">
        <f>SUMIFS('Demand Projection'!$D$2:$D$169,'Demand Projection'!$B$2:$B$169,C$1,'Demand Projection'!$C$2:$C$169,$A363)</f>
        <v>0</v>
      </c>
      <c r="D363">
        <f>SUMIFS('Demand Projection'!$D$2:$D$169,'Demand Projection'!$B$2:$B$169,D$1,'Demand Projection'!$C$2:$C$169,$A363)</f>
        <v>0</v>
      </c>
      <c r="E363">
        <f>SUMIFS('Demand Projection'!$D$2:$D$169,'Demand Projection'!$B$2:$B$169,E$1,'Demand Projection'!$C$2:$C$169,$A363)</f>
        <v>3532</v>
      </c>
      <c r="F363">
        <f>SUMIFS('Demand Projection'!$D$2:$D$169,'Demand Projection'!$B$2:$B$169,F$1,'Demand Projection'!$C$2:$C$169,$A363)</f>
        <v>2357</v>
      </c>
      <c r="G363" cm="1">
        <f t="array" ref="G363">Q362+IF(ROW()-3&lt;2,0,INDEX(L:L,ROW()-3))</f>
        <v>2219</v>
      </c>
      <c r="H363" cm="1">
        <f t="array" ref="H363">R362+IF(ROW()-3&lt;2,0,INDEX(M:M,ROW()-3))</f>
        <v>1309</v>
      </c>
      <c r="I363" cm="1">
        <f t="array" ref="I363">S362+IF(ROW()-3&lt;2,0,INDEX(N:N,ROW()-3))</f>
        <v>4171</v>
      </c>
      <c r="J363" cm="1">
        <f t="array" ref="J363">T362+IF(ROW()-3&lt;2,0,INDEX(O:O,ROW()-3))</f>
        <v>7032</v>
      </c>
      <c r="K363" cm="1">
        <f t="array" ref="K363">U362+IF(ROW()-3&lt;2,0,INDEX(P:P,ROW()-3))</f>
        <v>1912</v>
      </c>
      <c r="L363">
        <f>IF(Q363&lt;_xlfn.XLOOKUP(L$1,Capacity!$D$3:$D$7,Capacity!$E$3:$E$7),_xlfn.XLOOKUP(L$1,Capacity!$D$3:$D$7,Capacity!$F$3:$F$7)-Q363,0)</f>
        <v>0</v>
      </c>
      <c r="M363">
        <f>IF(R363&lt;_xlfn.XLOOKUP(M$1,Capacity!$D$3:$D$7,Capacity!$E$3:$E$7),_xlfn.XLOOKUP(M$1,Capacity!$D$3:$D$7,Capacity!$F$3:$F$7)-R363,0)</f>
        <v>0</v>
      </c>
      <c r="N363">
        <f>IF(S363&lt;_xlfn.XLOOKUP(N$1,Capacity!$D$3:$D$7,Capacity!$E$3:$E$7),_xlfn.XLOOKUP(N$1,Capacity!$D$3:$D$7,Capacity!$F$3:$F$7)-S363,0)</f>
        <v>0</v>
      </c>
      <c r="O363">
        <f>IF(T363&lt;_xlfn.XLOOKUP(O$1,Capacity!$D$3:$D$7,Capacity!$E$3:$E$7),_xlfn.XLOOKUP(O$1,Capacity!$D$3:$D$7,Capacity!$F$3:$F$7)-T363,0)</f>
        <v>0</v>
      </c>
      <c r="P363">
        <f>IF(U363&lt;_xlfn.XLOOKUP(P$1,Capacity!$D$3:$D$7,Capacity!$E$3:$E$7),_xlfn.XLOOKUP(P$1,Capacity!$D$3:$D$7,Capacity!$F$3:$F$7)-U363,0)</f>
        <v>2628</v>
      </c>
      <c r="Q363">
        <f t="shared" si="31"/>
        <v>2219</v>
      </c>
      <c r="R363">
        <f t="shared" si="32"/>
        <v>1309</v>
      </c>
      <c r="S363">
        <f t="shared" si="33"/>
        <v>4171</v>
      </c>
      <c r="T363">
        <f t="shared" si="34"/>
        <v>3500</v>
      </c>
      <c r="U363">
        <f t="shared" si="35"/>
        <v>-445</v>
      </c>
    </row>
    <row r="364" spans="1:21">
      <c r="A364" s="5">
        <f t="shared" si="36"/>
        <v>46385</v>
      </c>
      <c r="B364">
        <f>SUMIFS('Demand Projection'!$D$2:$D$169,'Demand Projection'!$B$2:$B$169,B$1,'Demand Projection'!$C$2:$C$169,$A364)</f>
        <v>0</v>
      </c>
      <c r="C364">
        <f>SUMIFS('Demand Projection'!$D$2:$D$169,'Demand Projection'!$B$2:$B$169,C$1,'Demand Projection'!$C$2:$C$169,$A364)</f>
        <v>0</v>
      </c>
      <c r="D364">
        <f>SUMIFS('Demand Projection'!$D$2:$D$169,'Demand Projection'!$B$2:$B$169,D$1,'Demand Projection'!$C$2:$C$169,$A364)</f>
        <v>0</v>
      </c>
      <c r="E364">
        <f>SUMIFS('Demand Projection'!$D$2:$D$169,'Demand Projection'!$B$2:$B$169,E$1,'Demand Projection'!$C$2:$C$169,$A364)</f>
        <v>0</v>
      </c>
      <c r="F364">
        <f>SUMIFS('Demand Projection'!$D$2:$D$169,'Demand Projection'!$B$2:$B$169,F$1,'Demand Projection'!$C$2:$C$169,$A364)</f>
        <v>0</v>
      </c>
      <c r="G364" cm="1">
        <f t="array" ref="G364">Q363+IF(ROW()-3&lt;2,0,INDEX(L:L,ROW()-3))</f>
        <v>2219</v>
      </c>
      <c r="H364" cm="1">
        <f t="array" ref="H364">R363+IF(ROW()-3&lt;2,0,INDEX(M:M,ROW()-3))</f>
        <v>1309</v>
      </c>
      <c r="I364" cm="1">
        <f t="array" ref="I364">S363+IF(ROW()-3&lt;2,0,INDEX(N:N,ROW()-3))</f>
        <v>4171</v>
      </c>
      <c r="J364" cm="1">
        <f t="array" ref="J364">T363+IF(ROW()-3&lt;2,0,INDEX(O:O,ROW()-3))</f>
        <v>3500</v>
      </c>
      <c r="K364" cm="1">
        <f t="array" ref="K364">U363+IF(ROW()-3&lt;2,0,INDEX(P:P,ROW()-3))</f>
        <v>-445</v>
      </c>
      <c r="L364">
        <f>IF(Q364&lt;_xlfn.XLOOKUP(L$1,Capacity!$D$3:$D$7,Capacity!$E$3:$E$7),_xlfn.XLOOKUP(L$1,Capacity!$D$3:$D$7,Capacity!$F$3:$F$7)-Q364,0)</f>
        <v>0</v>
      </c>
      <c r="M364">
        <f>IF(R364&lt;_xlfn.XLOOKUP(M$1,Capacity!$D$3:$D$7,Capacity!$E$3:$E$7),_xlfn.XLOOKUP(M$1,Capacity!$D$3:$D$7,Capacity!$F$3:$F$7)-R364,0)</f>
        <v>0</v>
      </c>
      <c r="N364">
        <f>IF(S364&lt;_xlfn.XLOOKUP(N$1,Capacity!$D$3:$D$7,Capacity!$E$3:$E$7),_xlfn.XLOOKUP(N$1,Capacity!$D$3:$D$7,Capacity!$F$3:$F$7)-S364,0)</f>
        <v>0</v>
      </c>
      <c r="O364">
        <f>IF(T364&lt;_xlfn.XLOOKUP(O$1,Capacity!$D$3:$D$7,Capacity!$E$3:$E$7),_xlfn.XLOOKUP(O$1,Capacity!$D$3:$D$7,Capacity!$F$3:$F$7)-T364,0)</f>
        <v>0</v>
      </c>
      <c r="P364">
        <f>IF(U364&lt;_xlfn.XLOOKUP(P$1,Capacity!$D$3:$D$7,Capacity!$E$3:$E$7),_xlfn.XLOOKUP(P$1,Capacity!$D$3:$D$7,Capacity!$F$3:$F$7)-U364,0)</f>
        <v>2628</v>
      </c>
      <c r="Q364">
        <f t="shared" si="31"/>
        <v>2219</v>
      </c>
      <c r="R364">
        <f t="shared" si="32"/>
        <v>1309</v>
      </c>
      <c r="S364">
        <f t="shared" si="33"/>
        <v>4171</v>
      </c>
      <c r="T364">
        <f t="shared" si="34"/>
        <v>3500</v>
      </c>
      <c r="U364">
        <f t="shared" si="35"/>
        <v>-445</v>
      </c>
    </row>
    <row r="365" spans="1:21">
      <c r="A365" s="5">
        <f t="shared" si="36"/>
        <v>46386</v>
      </c>
      <c r="B365">
        <f>SUMIFS('Demand Projection'!$D$2:$D$169,'Demand Projection'!$B$2:$B$169,B$1,'Demand Projection'!$C$2:$C$169,$A365)</f>
        <v>0</v>
      </c>
      <c r="C365">
        <f>SUMIFS('Demand Projection'!$D$2:$D$169,'Demand Projection'!$B$2:$B$169,C$1,'Demand Projection'!$C$2:$C$169,$A365)</f>
        <v>0</v>
      </c>
      <c r="D365">
        <f>SUMIFS('Demand Projection'!$D$2:$D$169,'Demand Projection'!$B$2:$B$169,D$1,'Demand Projection'!$C$2:$C$169,$A365)</f>
        <v>0</v>
      </c>
      <c r="E365">
        <f>SUMIFS('Demand Projection'!$D$2:$D$169,'Demand Projection'!$B$2:$B$169,E$1,'Demand Projection'!$C$2:$C$169,$A365)</f>
        <v>0</v>
      </c>
      <c r="F365">
        <f>SUMIFS('Demand Projection'!$D$2:$D$169,'Demand Projection'!$B$2:$B$169,F$1,'Demand Projection'!$C$2:$C$169,$A365)</f>
        <v>0</v>
      </c>
      <c r="G365" cm="1">
        <f t="array" ref="G365">Q364+IF(ROW()-3&lt;2,0,INDEX(L:L,ROW()-3))</f>
        <v>2219</v>
      </c>
      <c r="H365" cm="1">
        <f t="array" ref="H365">R364+IF(ROW()-3&lt;2,0,INDEX(M:M,ROW()-3))</f>
        <v>1309</v>
      </c>
      <c r="I365" cm="1">
        <f t="array" ref="I365">S364+IF(ROW()-3&lt;2,0,INDEX(N:N,ROW()-3))</f>
        <v>4171</v>
      </c>
      <c r="J365" cm="1">
        <f t="array" ref="J365">T364+IF(ROW()-3&lt;2,0,INDEX(O:O,ROW()-3))</f>
        <v>3500</v>
      </c>
      <c r="K365" cm="1">
        <f t="array" ref="K365">U364+IF(ROW()-3&lt;2,0,INDEX(P:P,ROW()-3))</f>
        <v>-445</v>
      </c>
      <c r="L365">
        <f>IF(Q365&lt;_xlfn.XLOOKUP(L$1,Capacity!$D$3:$D$7,Capacity!$E$3:$E$7),_xlfn.XLOOKUP(L$1,Capacity!$D$3:$D$7,Capacity!$F$3:$F$7)-Q365,0)</f>
        <v>0</v>
      </c>
      <c r="M365">
        <f>IF(R365&lt;_xlfn.XLOOKUP(M$1,Capacity!$D$3:$D$7,Capacity!$E$3:$E$7),_xlfn.XLOOKUP(M$1,Capacity!$D$3:$D$7,Capacity!$F$3:$F$7)-R365,0)</f>
        <v>0</v>
      </c>
      <c r="N365">
        <f>IF(S365&lt;_xlfn.XLOOKUP(N$1,Capacity!$D$3:$D$7,Capacity!$E$3:$E$7),_xlfn.XLOOKUP(N$1,Capacity!$D$3:$D$7,Capacity!$F$3:$F$7)-S365,0)</f>
        <v>0</v>
      </c>
      <c r="O365">
        <f>IF(T365&lt;_xlfn.XLOOKUP(O$1,Capacity!$D$3:$D$7,Capacity!$E$3:$E$7),_xlfn.XLOOKUP(O$1,Capacity!$D$3:$D$7,Capacity!$F$3:$F$7)-T365,0)</f>
        <v>0</v>
      </c>
      <c r="P365">
        <f>IF(U365&lt;_xlfn.XLOOKUP(P$1,Capacity!$D$3:$D$7,Capacity!$E$3:$E$7),_xlfn.XLOOKUP(P$1,Capacity!$D$3:$D$7,Capacity!$F$3:$F$7)-U365,0)</f>
        <v>2628</v>
      </c>
      <c r="Q365">
        <f t="shared" si="31"/>
        <v>2219</v>
      </c>
      <c r="R365">
        <f t="shared" si="32"/>
        <v>1309</v>
      </c>
      <c r="S365">
        <f t="shared" si="33"/>
        <v>4171</v>
      </c>
      <c r="T365">
        <f t="shared" si="34"/>
        <v>3500</v>
      </c>
      <c r="U365">
        <f t="shared" si="35"/>
        <v>-445</v>
      </c>
    </row>
    <row r="366" spans="1:21">
      <c r="A366" s="5">
        <f t="shared" si="36"/>
        <v>46387</v>
      </c>
      <c r="B366">
        <f>SUMIFS('Demand Projection'!$D$2:$D$169,'Demand Projection'!$B$2:$B$169,B$1,'Demand Projection'!$C$2:$C$169,$A366)</f>
        <v>0</v>
      </c>
      <c r="C366">
        <f>SUMIFS('Demand Projection'!$D$2:$D$169,'Demand Projection'!$B$2:$B$169,C$1,'Demand Projection'!$C$2:$C$169,$A366)</f>
        <v>0</v>
      </c>
      <c r="D366">
        <f>SUMIFS('Demand Projection'!$D$2:$D$169,'Demand Projection'!$B$2:$B$169,D$1,'Demand Projection'!$C$2:$C$169,$A366)</f>
        <v>0</v>
      </c>
      <c r="E366">
        <f>SUMIFS('Demand Projection'!$D$2:$D$169,'Demand Projection'!$B$2:$B$169,E$1,'Demand Projection'!$C$2:$C$169,$A366)</f>
        <v>0</v>
      </c>
      <c r="F366">
        <f>SUMIFS('Demand Projection'!$D$2:$D$169,'Demand Projection'!$B$2:$B$169,F$1,'Demand Projection'!$C$2:$C$169,$A366)</f>
        <v>0</v>
      </c>
      <c r="G366" cm="1">
        <f t="array" ref="G366">Q365+IF(ROW()-3&lt;2,0,INDEX(L:L,ROW()-3))</f>
        <v>2219</v>
      </c>
      <c r="H366" cm="1">
        <f t="array" ref="H366">R365+IF(ROW()-3&lt;2,0,INDEX(M:M,ROW()-3))</f>
        <v>1309</v>
      </c>
      <c r="I366" cm="1">
        <f t="array" ref="I366">S365+IF(ROW()-3&lt;2,0,INDEX(N:N,ROW()-3))</f>
        <v>4171</v>
      </c>
      <c r="J366" cm="1">
        <f t="array" ref="J366">T365+IF(ROW()-3&lt;2,0,INDEX(O:O,ROW()-3))</f>
        <v>3500</v>
      </c>
      <c r="K366" cm="1">
        <f t="array" ref="K366">U365+IF(ROW()-3&lt;2,0,INDEX(P:P,ROW()-3))</f>
        <v>2183</v>
      </c>
      <c r="L366">
        <f>IF(Q366&lt;_xlfn.XLOOKUP(L$1,Capacity!$D$3:$D$7,Capacity!$E$3:$E$7),_xlfn.XLOOKUP(L$1,Capacity!$D$3:$D$7,Capacity!$F$3:$F$7)-Q366,0)</f>
        <v>0</v>
      </c>
      <c r="M366">
        <f>IF(R366&lt;_xlfn.XLOOKUP(M$1,Capacity!$D$3:$D$7,Capacity!$E$3:$E$7),_xlfn.XLOOKUP(M$1,Capacity!$D$3:$D$7,Capacity!$F$3:$F$7)-R366,0)</f>
        <v>0</v>
      </c>
      <c r="N366">
        <f>IF(S366&lt;_xlfn.XLOOKUP(N$1,Capacity!$D$3:$D$7,Capacity!$E$3:$E$7),_xlfn.XLOOKUP(N$1,Capacity!$D$3:$D$7,Capacity!$F$3:$F$7)-S366,0)</f>
        <v>0</v>
      </c>
      <c r="O366">
        <f>IF(T366&lt;_xlfn.XLOOKUP(O$1,Capacity!$D$3:$D$7,Capacity!$E$3:$E$7),_xlfn.XLOOKUP(O$1,Capacity!$D$3:$D$7,Capacity!$F$3:$F$7)-T366,0)</f>
        <v>0</v>
      </c>
      <c r="P366">
        <f>IF(U366&lt;_xlfn.XLOOKUP(P$1,Capacity!$D$3:$D$7,Capacity!$E$3:$E$7),_xlfn.XLOOKUP(P$1,Capacity!$D$3:$D$7,Capacity!$F$3:$F$7)-U366,0)</f>
        <v>0</v>
      </c>
      <c r="Q366">
        <f t="shared" si="31"/>
        <v>2219</v>
      </c>
      <c r="R366">
        <f t="shared" si="32"/>
        <v>1309</v>
      </c>
      <c r="S366">
        <f t="shared" si="33"/>
        <v>4171</v>
      </c>
      <c r="T366">
        <f t="shared" si="34"/>
        <v>3500</v>
      </c>
      <c r="U366">
        <f t="shared" si="35"/>
        <v>2183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98E0-6338-4B59-9470-D76152665B06}">
  <dimension ref="A1:C64"/>
  <sheetViews>
    <sheetView workbookViewId="0">
      <selection activeCell="A3" sqref="A3"/>
    </sheetView>
  </sheetViews>
  <sheetFormatPr defaultRowHeight="15"/>
  <sheetData>
    <row r="1" spans="1:3">
      <c r="A1" t="s">
        <v>11</v>
      </c>
      <c r="B1" t="s">
        <v>22</v>
      </c>
      <c r="C1" t="s">
        <v>23</v>
      </c>
    </row>
    <row r="2" spans="1:3">
      <c r="A2" cm="1">
        <f t="array" ref="A2:C64">_xlfn.LET(
_xlpm.d,'Reorder Calc'!$A$2:$A$366,
_xlpm.a,'Reorder Calc'!$L$2:$L$366,
_xlpm.b,'Reorder Calc'!$M$2:$M$366,
_xlpm.c,'Reorder Calc'!$N$2:$N$366,
_xlpm.e,'Reorder Calc'!$O$2:$O$366,
_xlpm.f,'Reorder Calc'!$P$2:$P$366,
_xlpm.x,
_xlfn.VSTACK(
_xlfn._xlws.FILTER(_xlfn.HSTACK(_xlpm.d,IF(_xlpm.a&gt;0,"SKU PROD A",""),_xlpm.a),_xlpm.a&gt;0),
_xlfn._xlws.FILTER(_xlfn.HSTACK(_xlpm.d,IF(_xlpm.b&gt;0,"SKU PROD B",""),_xlpm.b),_xlpm.b&gt;0),
_xlfn._xlws.FILTER(_xlfn.HSTACK(_xlpm.d,IF(_xlpm.c&gt;0,"SKU PROD C",""),_xlpm.c&gt;0),
_xlpm.c&gt;0),
_xlfn._xlws.FILTER(_xlfn.HSTACK(_xlpm.d,IF(_xlpm.e&gt;0,"SKU PROD D",""),_xlpm.e),_xlpm.e&gt;0),
_xlfn._xlws.FILTER(_xlfn.HSTACK(_xlpm.d,IF(_xlpm.f&gt;0,"SKU PROD E",""),_xlpm.f),_xlpm.f&gt;0)
),
_xlfn.SORTBY(_xlpm.x,_xlfn.CHOOSECOLS(_xlpm.x,1),1,_xlfn.CHOOSECOLS(_xlpm.x,2),1)
)</f>
        <v>46029</v>
      </c>
      <c r="B2" t="str">
        <v>SKU PROD A</v>
      </c>
      <c r="C2">
        <v>2832</v>
      </c>
    </row>
    <row r="3" spans="1:3">
      <c r="A3">
        <v>46030</v>
      </c>
      <c r="B3" t="str">
        <v>SKU PROD A</v>
      </c>
      <c r="C3">
        <v>2832</v>
      </c>
    </row>
    <row r="4" spans="1:3">
      <c r="A4">
        <v>46031</v>
      </c>
      <c r="B4" t="str">
        <v>SKU PROD A</v>
      </c>
      <c r="C4">
        <v>2832</v>
      </c>
    </row>
    <row r="5" spans="1:3">
      <c r="A5">
        <v>46031</v>
      </c>
      <c r="B5" t="str">
        <v>SKU PROD C</v>
      </c>
      <c r="C5" t="b">
        <v>1</v>
      </c>
    </row>
    <row r="6" spans="1:3">
      <c r="A6">
        <v>46032</v>
      </c>
      <c r="B6" t="str">
        <v>SKU PROD C</v>
      </c>
      <c r="C6" t="b">
        <v>1</v>
      </c>
    </row>
    <row r="7" spans="1:3">
      <c r="A7">
        <v>46033</v>
      </c>
      <c r="B7" t="str">
        <v>SKU PROD C</v>
      </c>
      <c r="C7" t="b">
        <v>1</v>
      </c>
    </row>
    <row r="8" spans="1:3">
      <c r="A8">
        <v>46050</v>
      </c>
      <c r="B8" t="str">
        <v>SKU PROD D</v>
      </c>
      <c r="C8">
        <v>4274</v>
      </c>
    </row>
    <row r="9" spans="1:3">
      <c r="A9">
        <v>46050</v>
      </c>
      <c r="B9" t="str">
        <v>SKU PROD E</v>
      </c>
      <c r="C9">
        <v>2283</v>
      </c>
    </row>
    <row r="10" spans="1:3">
      <c r="A10">
        <v>46051</v>
      </c>
      <c r="B10" t="str">
        <v>SKU PROD D</v>
      </c>
      <c r="C10">
        <v>4274</v>
      </c>
    </row>
    <row r="11" spans="1:3">
      <c r="A11">
        <v>46051</v>
      </c>
      <c r="B11" t="str">
        <v>SKU PROD E</v>
      </c>
      <c r="C11">
        <v>2283</v>
      </c>
    </row>
    <row r="12" spans="1:3">
      <c r="A12">
        <v>46052</v>
      </c>
      <c r="B12" t="str">
        <v>SKU PROD D</v>
      </c>
      <c r="C12">
        <v>4274</v>
      </c>
    </row>
    <row r="13" spans="1:3">
      <c r="A13">
        <v>46052</v>
      </c>
      <c r="B13" t="str">
        <v>SKU PROD E</v>
      </c>
      <c r="C13">
        <v>2283</v>
      </c>
    </row>
    <row r="14" spans="1:3">
      <c r="A14">
        <v>46056</v>
      </c>
      <c r="B14" t="str">
        <v>SKU PROD B</v>
      </c>
      <c r="C14">
        <v>11470</v>
      </c>
    </row>
    <row r="15" spans="1:3">
      <c r="A15">
        <v>46057</v>
      </c>
      <c r="B15" t="str">
        <v>SKU PROD B</v>
      </c>
      <c r="C15">
        <v>11470</v>
      </c>
    </row>
    <row r="16" spans="1:3">
      <c r="A16">
        <v>46058</v>
      </c>
      <c r="B16" t="str">
        <v>SKU PROD B</v>
      </c>
      <c r="C16">
        <v>11470</v>
      </c>
    </row>
    <row r="17" spans="1:3">
      <c r="A17">
        <v>46086</v>
      </c>
      <c r="B17" t="str">
        <v>SKU PROD C</v>
      </c>
      <c r="C17" t="b">
        <v>1</v>
      </c>
    </row>
    <row r="18" spans="1:3">
      <c r="A18">
        <v>46087</v>
      </c>
      <c r="B18" t="str">
        <v>SKU PROD C</v>
      </c>
      <c r="C18" t="b">
        <v>1</v>
      </c>
    </row>
    <row r="19" spans="1:3">
      <c r="A19">
        <v>46088</v>
      </c>
      <c r="B19" t="str">
        <v>SKU PROD C</v>
      </c>
      <c r="C19" t="b">
        <v>1</v>
      </c>
    </row>
    <row r="20" spans="1:3">
      <c r="A20">
        <v>46105</v>
      </c>
      <c r="B20" t="str">
        <v>SKU PROD A</v>
      </c>
      <c r="C20">
        <v>2493</v>
      </c>
    </row>
    <row r="21" spans="1:3">
      <c r="A21">
        <v>46106</v>
      </c>
      <c r="B21" t="str">
        <v>SKU PROD A</v>
      </c>
      <c r="C21">
        <v>2493</v>
      </c>
    </row>
    <row r="22" spans="1:3">
      <c r="A22">
        <v>46107</v>
      </c>
      <c r="B22" t="str">
        <v>SKU PROD A</v>
      </c>
      <c r="C22">
        <v>2493</v>
      </c>
    </row>
    <row r="23" spans="1:3">
      <c r="A23">
        <v>46140</v>
      </c>
      <c r="B23" t="str">
        <v>SKU PROD D</v>
      </c>
      <c r="C23">
        <v>5763</v>
      </c>
    </row>
    <row r="24" spans="1:3">
      <c r="A24">
        <v>46140</v>
      </c>
      <c r="B24" t="str">
        <v>SKU PROD E</v>
      </c>
      <c r="C24">
        <v>3096</v>
      </c>
    </row>
    <row r="25" spans="1:3">
      <c r="A25">
        <v>46141</v>
      </c>
      <c r="B25" t="str">
        <v>SKU PROD D</v>
      </c>
      <c r="C25">
        <v>5763</v>
      </c>
    </row>
    <row r="26" spans="1:3">
      <c r="A26">
        <v>46141</v>
      </c>
      <c r="B26" t="str">
        <v>SKU PROD E</v>
      </c>
      <c r="C26">
        <v>3096</v>
      </c>
    </row>
    <row r="27" spans="1:3">
      <c r="A27">
        <v>46142</v>
      </c>
      <c r="B27" t="str">
        <v>SKU PROD D</v>
      </c>
      <c r="C27">
        <v>5763</v>
      </c>
    </row>
    <row r="28" spans="1:3">
      <c r="A28">
        <v>46142</v>
      </c>
      <c r="B28" t="str">
        <v>SKU PROD E</v>
      </c>
      <c r="C28">
        <v>3096</v>
      </c>
    </row>
    <row r="29" spans="1:3">
      <c r="A29">
        <v>46147</v>
      </c>
      <c r="B29" t="str">
        <v>SKU PROD C</v>
      </c>
      <c r="C29" t="b">
        <v>1</v>
      </c>
    </row>
    <row r="30" spans="1:3">
      <c r="A30">
        <v>46148</v>
      </c>
      <c r="B30" t="str">
        <v>SKU PROD C</v>
      </c>
      <c r="C30" t="b">
        <v>1</v>
      </c>
    </row>
    <row r="31" spans="1:3">
      <c r="A31">
        <v>46149</v>
      </c>
      <c r="B31" t="str">
        <v>SKU PROD C</v>
      </c>
      <c r="C31" t="b">
        <v>1</v>
      </c>
    </row>
    <row r="32" spans="1:3">
      <c r="A32">
        <v>46166</v>
      </c>
      <c r="B32" t="str">
        <v>SKU PROD A</v>
      </c>
      <c r="C32">
        <v>2083</v>
      </c>
    </row>
    <row r="33" spans="1:3">
      <c r="A33">
        <v>46167</v>
      </c>
      <c r="B33" t="str">
        <v>SKU PROD A</v>
      </c>
      <c r="C33">
        <v>2083</v>
      </c>
    </row>
    <row r="34" spans="1:3">
      <c r="A34">
        <v>46168</v>
      </c>
      <c r="B34" t="str">
        <v>SKU PROD A</v>
      </c>
      <c r="C34">
        <v>2083</v>
      </c>
    </row>
    <row r="35" spans="1:3">
      <c r="A35">
        <v>46206</v>
      </c>
      <c r="B35" t="str">
        <v>SKU PROD B</v>
      </c>
      <c r="C35">
        <v>10917</v>
      </c>
    </row>
    <row r="36" spans="1:3">
      <c r="A36">
        <v>46207</v>
      </c>
      <c r="B36" t="str">
        <v>SKU PROD B</v>
      </c>
      <c r="C36">
        <v>10917</v>
      </c>
    </row>
    <row r="37" spans="1:3">
      <c r="A37">
        <v>46208</v>
      </c>
      <c r="B37" t="str">
        <v>SKU PROD B</v>
      </c>
      <c r="C37">
        <v>10917</v>
      </c>
    </row>
    <row r="38" spans="1:3">
      <c r="A38">
        <v>46208</v>
      </c>
      <c r="B38" t="str">
        <v>SKU PROD C</v>
      </c>
      <c r="C38" t="b">
        <v>1</v>
      </c>
    </row>
    <row r="39" spans="1:3">
      <c r="A39">
        <v>46209</v>
      </c>
      <c r="B39" t="str">
        <v>SKU PROD C</v>
      </c>
      <c r="C39" t="b">
        <v>1</v>
      </c>
    </row>
    <row r="40" spans="1:3">
      <c r="A40">
        <v>46210</v>
      </c>
      <c r="B40" t="str">
        <v>SKU PROD C</v>
      </c>
      <c r="C40" t="b">
        <v>1</v>
      </c>
    </row>
    <row r="41" spans="1:3">
      <c r="A41">
        <v>46227</v>
      </c>
      <c r="B41" t="str">
        <v>SKU PROD A</v>
      </c>
      <c r="C41">
        <v>2775</v>
      </c>
    </row>
    <row r="42" spans="1:3">
      <c r="A42">
        <v>46228</v>
      </c>
      <c r="B42" t="str">
        <v>SKU PROD A</v>
      </c>
      <c r="C42">
        <v>2775</v>
      </c>
    </row>
    <row r="43" spans="1:3">
      <c r="A43">
        <v>46229</v>
      </c>
      <c r="B43" t="str">
        <v>SKU PROD A</v>
      </c>
      <c r="C43">
        <v>2775</v>
      </c>
    </row>
    <row r="44" spans="1:3">
      <c r="A44">
        <v>46251</v>
      </c>
      <c r="B44" t="str">
        <v>SKU PROD D</v>
      </c>
      <c r="C44">
        <v>3296</v>
      </c>
    </row>
    <row r="45" spans="1:3">
      <c r="A45">
        <v>46252</v>
      </c>
      <c r="B45" t="str">
        <v>SKU PROD D</v>
      </c>
      <c r="C45">
        <v>3296</v>
      </c>
    </row>
    <row r="46" spans="1:3">
      <c r="A46">
        <v>46253</v>
      </c>
      <c r="B46" t="str">
        <v>SKU PROD D</v>
      </c>
      <c r="C46">
        <v>3296</v>
      </c>
    </row>
    <row r="47" spans="1:3">
      <c r="A47">
        <v>46262</v>
      </c>
      <c r="B47" t="str">
        <v>SKU PROD E</v>
      </c>
      <c r="C47">
        <v>3506</v>
      </c>
    </row>
    <row r="48" spans="1:3">
      <c r="A48">
        <v>46263</v>
      </c>
      <c r="B48" t="str">
        <v>SKU PROD E</v>
      </c>
      <c r="C48">
        <v>3506</v>
      </c>
    </row>
    <row r="49" spans="1:3">
      <c r="A49">
        <v>46264</v>
      </c>
      <c r="B49" t="str">
        <v>SKU PROD E</v>
      </c>
      <c r="C49">
        <v>3506</v>
      </c>
    </row>
    <row r="50" spans="1:3">
      <c r="A50">
        <v>46274</v>
      </c>
      <c r="B50" t="str">
        <v>SKU PROD C</v>
      </c>
      <c r="C50" t="b">
        <v>1</v>
      </c>
    </row>
    <row r="51" spans="1:3">
      <c r="A51">
        <v>46275</v>
      </c>
      <c r="B51" t="str">
        <v>SKU PROD C</v>
      </c>
      <c r="C51" t="b">
        <v>1</v>
      </c>
    </row>
    <row r="52" spans="1:3">
      <c r="A52">
        <v>46276</v>
      </c>
      <c r="B52" t="str">
        <v>SKU PROD C</v>
      </c>
      <c r="C52" t="b">
        <v>1</v>
      </c>
    </row>
    <row r="53" spans="1:3">
      <c r="A53">
        <v>46319</v>
      </c>
      <c r="B53" t="str">
        <v>SKU PROD A</v>
      </c>
      <c r="C53">
        <v>2536</v>
      </c>
    </row>
    <row r="54" spans="1:3">
      <c r="A54">
        <v>46320</v>
      </c>
      <c r="B54" t="str">
        <v>SKU PROD A</v>
      </c>
      <c r="C54">
        <v>2536</v>
      </c>
    </row>
    <row r="55" spans="1:3">
      <c r="A55">
        <v>46321</v>
      </c>
      <c r="B55" t="str">
        <v>SKU PROD A</v>
      </c>
      <c r="C55">
        <v>2536</v>
      </c>
    </row>
    <row r="56" spans="1:3">
      <c r="A56">
        <v>46323</v>
      </c>
      <c r="B56" t="str">
        <v>SKU PROD D</v>
      </c>
      <c r="C56">
        <v>4551</v>
      </c>
    </row>
    <row r="57" spans="1:3">
      <c r="A57">
        <v>46324</v>
      </c>
      <c r="B57" t="str">
        <v>SKU PROD D</v>
      </c>
      <c r="C57">
        <v>4551</v>
      </c>
    </row>
    <row r="58" spans="1:3">
      <c r="A58">
        <v>46325</v>
      </c>
      <c r="B58" t="str">
        <v>SKU PROD D</v>
      </c>
      <c r="C58">
        <v>4551</v>
      </c>
    </row>
    <row r="59" spans="1:3">
      <c r="A59">
        <v>46361</v>
      </c>
      <c r="B59" t="str">
        <v>SKU PROD C</v>
      </c>
      <c r="C59" t="b">
        <v>1</v>
      </c>
    </row>
    <row r="60" spans="1:3">
      <c r="A60">
        <v>46362</v>
      </c>
      <c r="B60" t="str">
        <v>SKU PROD C</v>
      </c>
      <c r="C60" t="b">
        <v>1</v>
      </c>
    </row>
    <row r="61" spans="1:3">
      <c r="A61">
        <v>46363</v>
      </c>
      <c r="B61" t="str">
        <v>SKU PROD C</v>
      </c>
      <c r="C61" t="b">
        <v>1</v>
      </c>
    </row>
    <row r="62" spans="1:3">
      <c r="A62">
        <v>46384</v>
      </c>
      <c r="B62" t="str">
        <v>SKU PROD E</v>
      </c>
      <c r="C62">
        <v>2628</v>
      </c>
    </row>
    <row r="63" spans="1:3">
      <c r="A63">
        <v>46385</v>
      </c>
      <c r="B63" t="str">
        <v>SKU PROD E</v>
      </c>
      <c r="C63">
        <v>2628</v>
      </c>
    </row>
    <row r="64" spans="1:3">
      <c r="A64">
        <v>46386</v>
      </c>
      <c r="B64" t="str">
        <v>SKU PROD E</v>
      </c>
      <c r="C64">
        <v>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Feris Thia</dc:creator>
  <cp:keywords/>
  <dc:description/>
  <cp:lastModifiedBy/>
  <cp:revision/>
  <dcterms:created xsi:type="dcterms:W3CDTF">2026-09-10T05:05:49Z</dcterms:created>
  <dcterms:modified xsi:type="dcterms:W3CDTF">2026-09-13T01:18:17Z</dcterms:modified>
  <cp:category/>
  <cp:contentStatus/>
</cp:coreProperties>
</file>